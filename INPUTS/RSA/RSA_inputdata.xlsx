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bigaildevilliers/Desktop/Lancet GH submission/SA_TB_model-Clean/INPUTS/RSA/"/>
    </mc:Choice>
  </mc:AlternateContent>
  <xr:revisionPtr revIDLastSave="0" documentId="13_ncr:1_{5CC4C336-FF61-AC47-84DE-256DB2B84BF5}" xr6:coauthVersionLast="47" xr6:coauthVersionMax="47" xr10:uidLastSave="{00000000-0000-0000-0000-000000000000}"/>
  <bookViews>
    <workbookView xWindow="9200" yWindow="8520" windowWidth="28800" windowHeight="16020" activeTab="1" xr2:uid="{E8AD3683-5CBA-044B-AEAA-466E90BC41AC}"/>
  </bookViews>
  <sheets>
    <sheet name="1_timevarying_parms" sheetId="1" r:id="rId1"/>
    <sheet name="2_generate_param_list" sheetId="2" r:id="rId2"/>
  </sheets>
  <externalReferences>
    <externalReference r:id="rId3"/>
    <externalReference r:id="rId4"/>
    <externalReference r:id="rId5"/>
  </externalReferences>
  <definedNames>
    <definedName name="_xlnm._FilterDatabase" localSheetId="1" hidden="1">'2_generate_param_list'!$A$1:$D$121</definedName>
    <definedName name="calibration">[1]Support!$C$11</definedName>
    <definedName name="classIDs">[1]Classes!$C$6:$C$212</definedName>
    <definedName name="classNames">[1]Classes!$D$6:$D$212</definedName>
    <definedName name="compartments">#REF!</definedName>
    <definedName name="costOutcomeMeasure">#REF!</definedName>
    <definedName name="decisionInterval">'[1]General Settings'!$D$16</definedName>
    <definedName name="epsilonGreedyBeta">'[1]General Settings'!$D$92</definedName>
    <definedName name="epsilonGreedyDelta">'[1]General Settings'!$D$93</definedName>
    <definedName name="growthRate">'[1]Population Info'!$E$12</definedName>
    <definedName name="healthOutcomeMeasure">#REF!</definedName>
    <definedName name="initialNumberOfTrajectoriesForCalibration">'[1]General Settings'!$D$52</definedName>
    <definedName name="interestRate">'[1]General Settings'!$H$14</definedName>
    <definedName name="Number_of_warm_up_periods">'[1]Population Info'!$E$13</definedName>
    <definedName name="numOfDistricts">'[2]Population Info'!$D$30</definedName>
    <definedName name="numOfFittestTrajectoriesToReturn">'[1]General Settings'!$D$53</definedName>
    <definedName name="numOfSimulationsRunInParallelForCalibration">'[1]General Settings'!$D$49</definedName>
    <definedName name="numOfStatesInEachHIVGroup">'[1]Population Info'!$E$16</definedName>
    <definedName name="parameterIDs">#REF!</definedName>
    <definedName name="parameterNames">#REF!</definedName>
    <definedName name="processIDs">[1]Events!$C$6:$C$691</definedName>
    <definedName name="processNames">[1]Events!$D$6:$D$691</definedName>
    <definedName name="randomParameterBase">#REF!</definedName>
    <definedName name="simOutputInterval">'[1]General Settings'!$D$34</definedName>
    <definedName name="Test">#REF!</definedName>
    <definedName name="warmUpPeriod">'[1]General Settings'!$D$28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C23" i="1"/>
  <c r="A23" i="1"/>
  <c r="C22" i="1"/>
  <c r="A22" i="1"/>
  <c r="C21" i="1"/>
  <c r="A21" i="1"/>
  <c r="C20" i="1"/>
  <c r="A20" i="1"/>
  <c r="C19" i="1"/>
  <c r="A19" i="1"/>
  <c r="C18" i="1"/>
  <c r="A18" i="1"/>
  <c r="C17" i="1"/>
  <c r="A17" i="1"/>
  <c r="C16" i="1"/>
  <c r="A16" i="1"/>
  <c r="C15" i="1"/>
  <c r="A15" i="1"/>
  <c r="C14" i="1"/>
  <c r="A14" i="1"/>
  <c r="C13" i="1"/>
  <c r="A13" i="1"/>
  <c r="C12" i="1"/>
  <c r="A12" i="1"/>
  <c r="C11" i="1"/>
  <c r="A11" i="1"/>
  <c r="A10" i="1"/>
  <c r="A9" i="1"/>
  <c r="A8" i="1"/>
  <c r="A7" i="1"/>
  <c r="A6" i="1"/>
  <c r="A5" i="1"/>
  <c r="A4" i="1"/>
  <c r="A3" i="1"/>
  <c r="A2" i="1"/>
  <c r="C33" i="1"/>
  <c r="C43" i="1"/>
  <c r="C40" i="1"/>
  <c r="C32" i="1"/>
  <c r="C30" i="1"/>
  <c r="C42" i="1"/>
  <c r="C28" i="1"/>
  <c r="C29" i="1"/>
  <c r="C27" i="1"/>
  <c r="C35" i="1"/>
  <c r="C24" i="1"/>
  <c r="C37" i="1"/>
  <c r="C41" i="1"/>
  <c r="C36" i="1"/>
  <c r="C34" i="1"/>
  <c r="C39" i="1"/>
  <c r="C26" i="1"/>
  <c r="C38" i="1"/>
  <c r="C25" i="1"/>
  <c r="C31" i="1"/>
</calcChain>
</file>

<file path=xl/sharedStrings.xml><?xml version="1.0" encoding="utf-8"?>
<sst xmlns="http://schemas.openxmlformats.org/spreadsheetml/2006/main" count="129" uniqueCount="129">
  <si>
    <t>year</t>
  </si>
  <si>
    <t>calyear</t>
  </si>
  <si>
    <t>artinit_tb</t>
  </si>
  <si>
    <t>probhivbirth</t>
  </si>
  <si>
    <t>hivinc</t>
  </si>
  <si>
    <t>code</t>
  </si>
  <si>
    <t>best</t>
  </si>
  <si>
    <t>low</t>
  </si>
  <si>
    <t>high</t>
  </si>
  <si>
    <t>brate</t>
  </si>
  <si>
    <t>natmort</t>
  </si>
  <si>
    <t>beta</t>
  </si>
  <si>
    <t>relbeta_ps</t>
  </si>
  <si>
    <t>relbeta_h1</t>
  </si>
  <si>
    <t>relbeta_h2</t>
  </si>
  <si>
    <t>relbeta_h3</t>
  </si>
  <si>
    <t>relbeta_h4</t>
  </si>
  <si>
    <t>rapprog_h0</t>
  </si>
  <si>
    <t>delprog_h0</t>
  </si>
  <si>
    <t>recdist</t>
  </si>
  <si>
    <t>relreinflat_h0</t>
  </si>
  <si>
    <t>relreinfact_h0</t>
  </si>
  <si>
    <t>hrelapse_h0</t>
  </si>
  <si>
    <t>recovhl_h0</t>
  </si>
  <si>
    <t>relapse_h0</t>
  </si>
  <si>
    <t>progsymp_h0</t>
  </si>
  <si>
    <t>tbrecov_h0</t>
  </si>
  <si>
    <t>tbrecov_h1</t>
  </si>
  <si>
    <t>tbrecov_h2</t>
  </si>
  <si>
    <t>tbrecov_h3</t>
  </si>
  <si>
    <t>tbrecov_h4</t>
  </si>
  <si>
    <t>tbrecov_art</t>
  </si>
  <si>
    <t>tbmort_h0</t>
  </si>
  <si>
    <t>tbmort_h1</t>
  </si>
  <si>
    <t>tbmort_h2</t>
  </si>
  <si>
    <t>tbmort_h3</t>
  </si>
  <si>
    <t>tbmort_h4</t>
  </si>
  <si>
    <t>tbtreatmort_h0</t>
  </si>
  <si>
    <t>tbtreatmort_h1</t>
  </si>
  <si>
    <t>tbtreatmort_h2</t>
  </si>
  <si>
    <t>tbtreatmort_h3</t>
  </si>
  <si>
    <t>tbtreatmort_h4</t>
  </si>
  <si>
    <t>accdiags_h0</t>
  </si>
  <si>
    <t>accdiags_hx</t>
  </si>
  <si>
    <t>diagdur</t>
  </si>
  <si>
    <t>ptb_h0</t>
  </si>
  <si>
    <t>ptb_hx</t>
  </si>
  <si>
    <t>pspneg_h0</t>
  </si>
  <si>
    <t>pspneg_hx</t>
  </si>
  <si>
    <t>sputsc_symp_h0</t>
  </si>
  <si>
    <t>sputsc_symp_hx</t>
  </si>
  <si>
    <t>sens_xpert_h0</t>
  </si>
  <si>
    <t>sens_xpert_hx</t>
  </si>
  <si>
    <t>sens_ultra_h0</t>
  </si>
  <si>
    <t>sens_ultra_hx</t>
  </si>
  <si>
    <t>spec_xpert_h0</t>
  </si>
  <si>
    <t>spec_xpert_hx</t>
  </si>
  <si>
    <t>spec_ultra_h0</t>
  </si>
  <si>
    <t>spec_ultra_hx</t>
  </si>
  <si>
    <t>clindiag_h0</t>
  </si>
  <si>
    <t>clindiag_hx</t>
  </si>
  <si>
    <t>pfdiag_h0</t>
  </si>
  <si>
    <t>pfdiag_hx</t>
  </si>
  <si>
    <t>ltfu_diag_ultra_h0</t>
  </si>
  <si>
    <t>ltfu_diag_ultra_hx</t>
  </si>
  <si>
    <t>iltfu</t>
  </si>
  <si>
    <t>recovtreat</t>
  </si>
  <si>
    <t>tfail</t>
  </si>
  <si>
    <t>hivprog_h1h2</t>
  </si>
  <si>
    <t>hivprog_h2h3</t>
  </si>
  <si>
    <t>hivprog_h3h4</t>
  </si>
  <si>
    <t>hivmort_h4</t>
  </si>
  <si>
    <t>hivmortrat_h3</t>
  </si>
  <si>
    <t>hivtb1</t>
  </si>
  <si>
    <t>hivtb2</t>
  </si>
  <si>
    <t>artbase</t>
  </si>
  <si>
    <t>artslope</t>
  </si>
  <si>
    <t>arteff</t>
  </si>
  <si>
    <t>tbmort_art_h1</t>
  </si>
  <si>
    <t>tbmort_art_h2</t>
  </si>
  <si>
    <t>tbmort_art_h3</t>
  </si>
  <si>
    <t>tbmort_art_h4</t>
  </si>
  <si>
    <t>betapred</t>
  </si>
  <si>
    <t>hivmortart_ratio_h3</t>
  </si>
  <si>
    <t>hivmortart_ratio_h4</t>
  </si>
  <si>
    <t>tbtreatmort_art_h1</t>
  </si>
  <si>
    <t>tbtreatmort_art_h2</t>
  </si>
  <si>
    <t>tbtreatmort_art_h3</t>
  </si>
  <si>
    <t>tbtreatmort_art_h4</t>
  </si>
  <si>
    <t>artinit_mr</t>
  </si>
  <si>
    <t>artinit_L_h1</t>
  </si>
  <si>
    <t>artinit_L_h2</t>
  </si>
  <si>
    <t>artinit_L_h3</t>
  </si>
  <si>
    <t>artinit_L_h4</t>
  </si>
  <si>
    <t>artinit_k</t>
  </si>
  <si>
    <t>prop_h1</t>
  </si>
  <si>
    <t>prop_h2</t>
  </si>
  <si>
    <t>prop_h3</t>
  </si>
  <si>
    <t>prop_h4</t>
  </si>
  <si>
    <t>prop_S</t>
  </si>
  <si>
    <t>prop_LR</t>
  </si>
  <si>
    <t>prop_LD</t>
  </si>
  <si>
    <t>prop_IP</t>
  </si>
  <si>
    <t>prop_IS</t>
  </si>
  <si>
    <t>prop_DP</t>
  </si>
  <si>
    <t>prop_DS</t>
  </si>
  <si>
    <t>prop_FN</t>
  </si>
  <si>
    <t>prop_T</t>
  </si>
  <si>
    <t>prop_RH</t>
  </si>
  <si>
    <t>prop_R</t>
  </si>
  <si>
    <t>pop1995_total</t>
  </si>
  <si>
    <t>pop1995_hiv</t>
  </si>
  <si>
    <t>h1RR2pwr</t>
  </si>
  <si>
    <t>h2RR2pwr</t>
  </si>
  <si>
    <t>h3RR2pwr</t>
  </si>
  <si>
    <t>h4RR2pwr</t>
  </si>
  <si>
    <t>delprog_h1</t>
  </si>
  <si>
    <t>year_art_init_h4</t>
  </si>
  <si>
    <t>year_art_init_h3</t>
  </si>
  <si>
    <t>year_art_init_h1</t>
  </si>
  <si>
    <t>year_art_init_h2</t>
  </si>
  <si>
    <t>year_xpert_ultra_init</t>
  </si>
  <si>
    <t>delprog_h2</t>
  </si>
  <si>
    <t>delprog_h3</t>
  </si>
  <si>
    <t>delprog_h4</t>
  </si>
  <si>
    <t>relapse_h1</t>
  </si>
  <si>
    <t>relapse_h2</t>
  </si>
  <si>
    <t>relapse_h4</t>
  </si>
  <si>
    <t>relapse_h3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</si>
</sst>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3" fillId="0" borderId="0"/>
    <xf numFmtId="9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6" xfId="0" applyFont="1" applyFill="1" applyBorder="1" applyAlignment="1">
      <alignment horizontal="left"/>
    </xf>
    <xf numFmtId="164" fontId="2" fillId="0" borderId="6" xfId="0" applyNumberFormat="1" applyFont="1" applyFill="1" applyBorder="1" applyAlignment="1">
      <alignment horizontal="right"/>
    </xf>
    <xf numFmtId="0" fontId="0" fillId="0" borderId="5" xfId="0" applyFill="1" applyBorder="1"/>
    <xf numFmtId="164" fontId="0" fillId="0" borderId="5" xfId="0" applyNumberFormat="1" applyFill="1" applyBorder="1"/>
    <xf numFmtId="165" fontId="0" fillId="0" borderId="5" xfId="0" applyNumberFormat="1" applyFill="1" applyBorder="1"/>
    <xf numFmtId="1" fontId="0" fillId="0" borderId="5" xfId="0" applyNumberFormat="1" applyFill="1" applyBorder="1"/>
    <xf numFmtId="164" fontId="0" fillId="0" borderId="5" xfId="0" applyNumberFormat="1" applyFill="1" applyBorder="1" applyAlignment="1">
      <alignment horizontal="right"/>
    </xf>
    <xf numFmtId="0" fontId="0" fillId="0" borderId="5" xfId="0" applyFill="1" applyBorder="1" applyAlignment="1">
      <alignment horizontal="right"/>
    </xf>
    <xf numFmtId="2" fontId="0" fillId="0" borderId="5" xfId="0" applyNumberFormat="1" applyFill="1" applyBorder="1"/>
    <xf numFmtId="166" fontId="0" fillId="0" borderId="5" xfId="0" applyNumberFormat="1" applyFill="1" applyBorder="1" applyAlignment="1">
      <alignment horizontal="right"/>
    </xf>
    <xf numFmtId="1" fontId="3" fillId="0" borderId="5" xfId="0" applyNumberFormat="1" applyFont="1" applyFill="1" applyBorder="1" applyAlignment="1">
      <alignment horizontal="right"/>
    </xf>
    <xf numFmtId="164" fontId="2" fillId="0" borderId="5" xfId="0" applyNumberFormat="1" applyFont="1" applyFill="1" applyBorder="1" applyAlignment="1">
      <alignment horizontal="right"/>
    </xf>
    <xf numFmtId="0" fontId="0" fillId="0" borderId="4" xfId="0" applyFill="1" applyBorder="1"/>
    <xf numFmtId="0" fontId="0" fillId="0" borderId="1" xfId="0" applyFill="1" applyBorder="1"/>
    <xf numFmtId="0" fontId="0" fillId="0" borderId="0" xfId="0" applyFill="1"/>
    <xf numFmtId="0" fontId="2" fillId="0" borderId="1" xfId="0" applyFont="1" applyFill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2" fillId="0" borderId="3" xfId="0" applyFont="1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2" fontId="0" fillId="0" borderId="2" xfId="0" applyNumberFormat="1" applyFill="1" applyBorder="1"/>
    <xf numFmtId="0" fontId="0" fillId="0" borderId="3" xfId="0" applyFill="1" applyBorder="1"/>
    <xf numFmtId="0" fontId="0" fillId="0" borderId="7" xfId="0" applyFill="1" applyBorder="1"/>
  </cellXfs>
  <cellStyles count="3">
    <cellStyle name="Normal" xfId="0" builtinId="0"/>
    <cellStyle name="Normal 2" xfId="1" xr:uid="{EA740769-D886-C74D-8C63-864A6300E648}"/>
    <cellStyle name="Per cent 2" xfId="2" xr:uid="{295ECFD4-30BA-4E44-B54F-6784CAB4DB58}"/>
  </cellStyles>
  <dxfs count="0"/>
  <tableStyles count="0" defaultTableStyle="TableStyleMedium2" defaultPivotStyle="PivotStyleLight16"/>
  <colors>
    <mruColors>
      <color rgb="FFDFB9FF"/>
      <color rgb="FFFF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Boston/Research/Modeling%2520previous%2520TB/New%2520model/Prev%2520TB%2520Model%2520-%2520v2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Reza/Box%2520Sync/Projects/2014%2520Meningococcal%2520Vaccination/Numerical%2520Results/5%2520District%2520(2015-12-01)/Meningitis%2520Model%2520v7%2520-%25205%2520Districts%2520-%2520Lambda%25200.03%2520-%2520(2015-12-14)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bigaildevilliers/Desktop/SA_TB_model/PROVINCES/SA/INPUT/TB%20Model%20Houskeeping%20file.xlsx" TargetMode="External"/><Relationship Id="rId1" Type="http://schemas.openxmlformats.org/officeDocument/2006/relationships/externalLinkPath" Target="/Users/abigaildevilliers/Desktop/SA_TB_model/PROVINCES/SA/INPUT/TB%20Model%20Houskeeping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Settings"/>
      <sheetName val="Simulation Output"/>
      <sheetName val="Simulation Statistics"/>
      <sheetName val="Calibration"/>
      <sheetName val="Experimental Designs"/>
      <sheetName val="Sampled Parameters"/>
      <sheetName val="Population Info"/>
      <sheetName val="Parameters"/>
      <sheetName val="Classes"/>
      <sheetName val="Special Statistics"/>
      <sheetName val="Interventions"/>
      <sheetName val="Pathogens"/>
      <sheetName val="Events"/>
      <sheetName val="Resources"/>
      <sheetName val="Connections"/>
      <sheetName val="Base Contact Matrices"/>
      <sheetName val="Additive Contact Matrices"/>
      <sheetName val="Epidemic History"/>
      <sheetName val="Q-Functions"/>
      <sheetName val="Dynamic Policy"/>
      <sheetName val="ADP Iterations"/>
      <sheetName val="Dynamic Policy Optimizaion"/>
      <sheetName val="Static Policy Optimization"/>
      <sheetName val="Computation Time"/>
      <sheetName val="Static Policy Designs"/>
      <sheetName val="Population Strcuture"/>
      <sheetName val="Contacts"/>
      <sheetName val="Simulating Decision Making"/>
      <sheetName val="Sheet1"/>
      <sheetName val="Support"/>
      <sheetName val="Prev TB Model - v26"/>
    </sheetNames>
    <sheetDataSet>
      <sheetData sheetId="0">
        <row r="14">
          <cell r="H14">
            <v>0</v>
          </cell>
        </row>
        <row r="16">
          <cell r="D16">
            <v>28</v>
          </cell>
        </row>
        <row r="28">
          <cell r="D28">
            <v>8736</v>
          </cell>
        </row>
        <row r="34">
          <cell r="D34">
            <v>364</v>
          </cell>
        </row>
        <row r="49">
          <cell r="D49">
            <v>128</v>
          </cell>
        </row>
        <row r="52">
          <cell r="D52">
            <v>128000</v>
          </cell>
        </row>
        <row r="53">
          <cell r="D53">
            <v>250</v>
          </cell>
        </row>
        <row r="92">
          <cell r="D92">
            <v>0.5</v>
          </cell>
        </row>
        <row r="93">
          <cell r="D93">
            <v>0</v>
          </cell>
        </row>
      </sheetData>
      <sheetData sheetId="1">
        <row r="29">
          <cell r="D29">
            <v>22051</v>
          </cell>
        </row>
      </sheetData>
      <sheetData sheetId="2">
        <row r="29">
          <cell r="D29">
            <v>134.52197597493884</v>
          </cell>
        </row>
      </sheetData>
      <sheetData sheetId="3">
        <row r="29">
          <cell r="D29">
            <v>5.2593229278364096E-3</v>
          </cell>
        </row>
      </sheetData>
      <sheetData sheetId="4">
        <row r="4">
          <cell r="D4">
            <v>0</v>
          </cell>
        </row>
      </sheetData>
      <sheetData sheetId="5">
        <row r="29">
          <cell r="D29">
            <v>0</v>
          </cell>
        </row>
      </sheetData>
      <sheetData sheetId="6">
        <row r="2">
          <cell r="CL2">
            <v>-0.06</v>
          </cell>
        </row>
        <row r="12">
          <cell r="E12">
            <v>0.01</v>
          </cell>
        </row>
        <row r="13">
          <cell r="E13">
            <v>10</v>
          </cell>
        </row>
        <row r="16">
          <cell r="E16">
            <v>38</v>
          </cell>
        </row>
      </sheetData>
      <sheetData sheetId="7">
        <row r="29">
          <cell r="D29">
            <v>15</v>
          </cell>
        </row>
      </sheetData>
      <sheetData sheetId="8">
        <row r="6">
          <cell r="C6">
            <v>0</v>
          </cell>
          <cell r="D6" t="str">
            <v>S | naïve | HIV -</v>
          </cell>
        </row>
        <row r="7">
          <cell r="C7">
            <v>1</v>
          </cell>
          <cell r="D7" t="str">
            <v>L | naïve | HIV -</v>
          </cell>
        </row>
        <row r="8">
          <cell r="C8">
            <v>2</v>
          </cell>
          <cell r="D8" t="str">
            <v>L | comp | HIV -</v>
          </cell>
        </row>
        <row r="9">
          <cell r="C9">
            <v>3</v>
          </cell>
          <cell r="D9" t="str">
            <v>L | incomp | HIV -</v>
          </cell>
        </row>
        <row r="10">
          <cell r="C10">
            <v>4</v>
          </cell>
          <cell r="D10" t="str">
            <v>L | comp IPT | HIV -</v>
          </cell>
        </row>
        <row r="11">
          <cell r="C11">
            <v>5</v>
          </cell>
          <cell r="D11" t="str">
            <v>I | naïve | HIV -</v>
          </cell>
        </row>
        <row r="12">
          <cell r="C12">
            <v>6</v>
          </cell>
          <cell r="D12" t="str">
            <v>I | comp | HIV -</v>
          </cell>
        </row>
        <row r="13">
          <cell r="C13">
            <v>7</v>
          </cell>
          <cell r="D13" t="str">
            <v>I | incomp | HIV -</v>
          </cell>
        </row>
        <row r="14">
          <cell r="C14">
            <v>8</v>
          </cell>
          <cell r="D14" t="str">
            <v>T | comp | HIV -</v>
          </cell>
        </row>
        <row r="15">
          <cell r="C15">
            <v>9</v>
          </cell>
          <cell r="D15" t="str">
            <v>T | incomp | HIV -</v>
          </cell>
        </row>
        <row r="16">
          <cell r="C16">
            <v>10</v>
          </cell>
          <cell r="D16" t="str">
            <v>If progress | S | naïve | HIV -</v>
          </cell>
        </row>
        <row r="17">
          <cell r="C17">
            <v>11</v>
          </cell>
          <cell r="D17" t="str">
            <v>If progress | L | naïve | HIV -</v>
          </cell>
        </row>
        <row r="18">
          <cell r="C18">
            <v>12</v>
          </cell>
          <cell r="D18" t="str">
            <v>If progress | L | comp | HIV -</v>
          </cell>
        </row>
        <row r="19">
          <cell r="C19">
            <v>13</v>
          </cell>
          <cell r="D19" t="str">
            <v>If progress | L | incomp | HIV -</v>
          </cell>
        </row>
        <row r="20">
          <cell r="C20">
            <v>14</v>
          </cell>
          <cell r="D20" t="str">
            <v>If progress | L | comp IPT | HIV -</v>
          </cell>
        </row>
        <row r="21">
          <cell r="C21">
            <v>15</v>
          </cell>
          <cell r="D21" t="str">
            <v>If will complete treatment | I | naïve | HIV -</v>
          </cell>
        </row>
        <row r="22">
          <cell r="C22">
            <v>16</v>
          </cell>
          <cell r="D22" t="str">
            <v>If will complete treatment | I | comp | HIV -</v>
          </cell>
        </row>
        <row r="23">
          <cell r="C23">
            <v>17</v>
          </cell>
          <cell r="D23" t="str">
            <v>If will complete treatment | I | incomp | HIV -</v>
          </cell>
        </row>
        <row r="24">
          <cell r="C24">
            <v>18</v>
          </cell>
          <cell r="D24" t="str">
            <v>If ART | if assigned to T comp | I | naïve | HIV -</v>
          </cell>
        </row>
        <row r="25">
          <cell r="C25">
            <v>19</v>
          </cell>
          <cell r="D25" t="str">
            <v>If ART | if assigned to T comp | I | comp | HIV -</v>
          </cell>
        </row>
        <row r="26">
          <cell r="C26">
            <v>20</v>
          </cell>
          <cell r="D26" t="str">
            <v>If ART | if assigned to T comp | I | incomp | HIV -</v>
          </cell>
        </row>
        <row r="27">
          <cell r="C27">
            <v>21</v>
          </cell>
          <cell r="D27" t="str">
            <v>If ART | if assigned to T incomp | I | naïve | HIV -</v>
          </cell>
        </row>
        <row r="28">
          <cell r="C28">
            <v>22</v>
          </cell>
          <cell r="D28" t="str">
            <v>If ART | if assigned to T incomp | I | comp | HIV -</v>
          </cell>
        </row>
        <row r="29">
          <cell r="C29">
            <v>23</v>
          </cell>
          <cell r="D29" t="str">
            <v>If ART | if assigned to T incomp | I | incomp | HIV -</v>
          </cell>
        </row>
        <row r="30">
          <cell r="C30">
            <v>24</v>
          </cell>
          <cell r="D30" t="str">
            <v>If will receive IPT after | T | comp | HIV -</v>
          </cell>
        </row>
        <row r="31">
          <cell r="C31">
            <v>25</v>
          </cell>
          <cell r="D31" t="str">
            <v>If still infectious | leaving | T | incomp | HIV -</v>
          </cell>
        </row>
        <row r="32">
          <cell r="C32">
            <v>26</v>
          </cell>
          <cell r="D32" t="str">
            <v>Counting TB Incident to I | incomp | HIV -</v>
          </cell>
        </row>
        <row r="33">
          <cell r="C33">
            <v>27</v>
          </cell>
          <cell r="D33" t="str">
            <v>Counting receiving IPT | T | comp | HIV -</v>
          </cell>
        </row>
        <row r="34">
          <cell r="C34">
            <v>28</v>
          </cell>
          <cell r="D34" t="str">
            <v>Counting cases detected through ACF | L | comp | HIV -</v>
          </cell>
        </row>
        <row r="35">
          <cell r="C35">
            <v>29</v>
          </cell>
          <cell r="D35" t="str">
            <v>Counting cases detected through ACF | L | incomp | HIV -</v>
          </cell>
        </row>
        <row r="36">
          <cell r="C36">
            <v>30</v>
          </cell>
          <cell r="D36" t="str">
            <v>Counting cases detected through ACF | L | comp IPT | HIV -</v>
          </cell>
        </row>
        <row r="37">
          <cell r="C37">
            <v>31</v>
          </cell>
          <cell r="D37" t="str">
            <v>Counting cases detected through ACF | I | comp | HIV -</v>
          </cell>
        </row>
        <row r="38">
          <cell r="C38">
            <v>32</v>
          </cell>
          <cell r="D38" t="str">
            <v>Counting cases detected through ACF | I | incomp | HIV -</v>
          </cell>
        </row>
        <row r="39">
          <cell r="C39">
            <v>33</v>
          </cell>
          <cell r="D39" t="str">
            <v>Counting reinfection | L | comp | HIV -</v>
          </cell>
        </row>
        <row r="40">
          <cell r="C40">
            <v>34</v>
          </cell>
          <cell r="D40" t="str">
            <v>Counting reinfection | L | incomp | HIV -</v>
          </cell>
        </row>
        <row r="41">
          <cell r="C41">
            <v>35</v>
          </cell>
          <cell r="D41" t="str">
            <v>Death | HIV-</v>
          </cell>
        </row>
        <row r="42">
          <cell r="C42">
            <v>36</v>
          </cell>
          <cell r="D42" t="str">
            <v>TB Death | infectious and undetected | HIV -</v>
          </cell>
        </row>
        <row r="43">
          <cell r="C43">
            <v>37</v>
          </cell>
          <cell r="D43" t="str">
            <v>TB Death | under treatment | HIV -</v>
          </cell>
        </row>
        <row r="44">
          <cell r="C44">
            <v>38</v>
          </cell>
          <cell r="D44" t="str">
            <v>S | naïve | HIV+ nIC</v>
          </cell>
        </row>
        <row r="45">
          <cell r="C45">
            <v>39</v>
          </cell>
          <cell r="D45" t="str">
            <v>L | naïve | HIV+ nIC</v>
          </cell>
        </row>
        <row r="46">
          <cell r="C46">
            <v>40</v>
          </cell>
          <cell r="D46" t="str">
            <v>L | comp | HIV+ nIC</v>
          </cell>
        </row>
        <row r="47">
          <cell r="C47">
            <v>41</v>
          </cell>
          <cell r="D47" t="str">
            <v>L | incomp | HIV+ nIC</v>
          </cell>
        </row>
        <row r="48">
          <cell r="C48">
            <v>42</v>
          </cell>
          <cell r="D48" t="str">
            <v>L | comp IPT | HIV+ nIC</v>
          </cell>
        </row>
        <row r="49">
          <cell r="C49">
            <v>43</v>
          </cell>
          <cell r="D49" t="str">
            <v>I | naïve | HIV+ nIC</v>
          </cell>
        </row>
        <row r="50">
          <cell r="C50">
            <v>44</v>
          </cell>
          <cell r="D50" t="str">
            <v>I | comp | HIV+ nIC</v>
          </cell>
        </row>
        <row r="51">
          <cell r="C51">
            <v>45</v>
          </cell>
          <cell r="D51" t="str">
            <v>I | incomp | HIV+ nIC</v>
          </cell>
        </row>
        <row r="52">
          <cell r="C52">
            <v>46</v>
          </cell>
          <cell r="D52" t="str">
            <v>T | comp | HIV+ nIC</v>
          </cell>
        </row>
        <row r="53">
          <cell r="C53">
            <v>47</v>
          </cell>
          <cell r="D53" t="str">
            <v>T | incomp | HIV+ nIC</v>
          </cell>
        </row>
        <row r="54">
          <cell r="C54">
            <v>48</v>
          </cell>
          <cell r="D54" t="str">
            <v>If progress | S | naïve | HIV+ nIC</v>
          </cell>
        </row>
        <row r="55">
          <cell r="C55">
            <v>49</v>
          </cell>
          <cell r="D55" t="str">
            <v>If progress | L | naïve | HIV+ nIC</v>
          </cell>
        </row>
        <row r="56">
          <cell r="C56">
            <v>50</v>
          </cell>
          <cell r="D56" t="str">
            <v>If progress | L | comp | HIV+ nIC</v>
          </cell>
        </row>
        <row r="57">
          <cell r="C57">
            <v>51</v>
          </cell>
          <cell r="D57" t="str">
            <v>If progress | L | incomp | HIV+ nIC</v>
          </cell>
        </row>
        <row r="58">
          <cell r="C58">
            <v>52</v>
          </cell>
          <cell r="D58" t="str">
            <v>If progress | L | comp IPT | HIV+ nIC</v>
          </cell>
        </row>
        <row r="59">
          <cell r="C59">
            <v>53</v>
          </cell>
          <cell r="D59" t="str">
            <v>If will complete treatment | I | naïve | HIV+ nIC</v>
          </cell>
        </row>
        <row r="60">
          <cell r="C60">
            <v>54</v>
          </cell>
          <cell r="D60" t="str">
            <v>If will complete treatment | I | comp | HIV+ nIC</v>
          </cell>
        </row>
        <row r="61">
          <cell r="C61">
            <v>55</v>
          </cell>
          <cell r="D61" t="str">
            <v>If will complete treatment | I | incomp | HIV+ nIC</v>
          </cell>
        </row>
        <row r="62">
          <cell r="C62">
            <v>56</v>
          </cell>
          <cell r="D62" t="str">
            <v>If ART | if assigned to T comp | I | naïve | HIV+ nIC</v>
          </cell>
        </row>
        <row r="63">
          <cell r="C63">
            <v>57</v>
          </cell>
          <cell r="D63" t="str">
            <v>If ART | if assigned to T comp | I | comp | HIV+ nIC</v>
          </cell>
        </row>
        <row r="64">
          <cell r="C64">
            <v>58</v>
          </cell>
          <cell r="D64" t="str">
            <v>If ART | if assigned to T comp | I | incomp | HIV+ nIC</v>
          </cell>
        </row>
        <row r="65">
          <cell r="C65">
            <v>59</v>
          </cell>
          <cell r="D65" t="str">
            <v>If ART | if assigned to T incomp | I | naïve | HIV+ nIC</v>
          </cell>
        </row>
        <row r="66">
          <cell r="C66">
            <v>60</v>
          </cell>
          <cell r="D66" t="str">
            <v>If ART | if assigned to T incomp | I | comp | HIV+ nIC</v>
          </cell>
        </row>
        <row r="67">
          <cell r="C67">
            <v>61</v>
          </cell>
          <cell r="D67" t="str">
            <v>If ART | if assigned to T incomp | I | incomp | HIV+ nIC</v>
          </cell>
        </row>
        <row r="68">
          <cell r="C68">
            <v>62</v>
          </cell>
          <cell r="D68" t="str">
            <v>If will receive IPT after | T | comp | HIV+ nIC</v>
          </cell>
        </row>
        <row r="69">
          <cell r="C69">
            <v>63</v>
          </cell>
          <cell r="D69" t="str">
            <v>If still infectious | leaving | T | incomp | HIV+ nIC</v>
          </cell>
        </row>
        <row r="70">
          <cell r="C70">
            <v>64</v>
          </cell>
          <cell r="D70" t="str">
            <v>Counting TB Incident to I | incomp | HIV+ nIC</v>
          </cell>
        </row>
        <row r="71">
          <cell r="C71">
            <v>65</v>
          </cell>
          <cell r="D71" t="str">
            <v>Counting receiving IPT | T | comp | HIV+ nIC</v>
          </cell>
        </row>
        <row r="72">
          <cell r="C72">
            <v>66</v>
          </cell>
          <cell r="D72" t="str">
            <v>Counting cases detected through ACF | L | comp | HIV+ nIC</v>
          </cell>
        </row>
        <row r="73">
          <cell r="C73">
            <v>67</v>
          </cell>
          <cell r="D73" t="str">
            <v>Counting cases detected through ACF | L | incomp | HIV+ nIC</v>
          </cell>
        </row>
        <row r="74">
          <cell r="C74">
            <v>68</v>
          </cell>
          <cell r="D74" t="str">
            <v>Counting cases detected through ACF | L | comp IPT | HIV+ nIC</v>
          </cell>
        </row>
        <row r="75">
          <cell r="C75">
            <v>69</v>
          </cell>
          <cell r="D75" t="str">
            <v>Counting cases detected through ACF | I | comp | HIV+ nIC</v>
          </cell>
        </row>
        <row r="76">
          <cell r="C76">
            <v>70</v>
          </cell>
          <cell r="D76" t="str">
            <v>Counting cases detected through ACF | I | incomp | HIV+ nIC</v>
          </cell>
        </row>
        <row r="77">
          <cell r="C77">
            <v>71</v>
          </cell>
          <cell r="D77" t="str">
            <v>Counting reinfection | L | comp | HIV+ nIC</v>
          </cell>
        </row>
        <row r="78">
          <cell r="C78">
            <v>72</v>
          </cell>
          <cell r="D78" t="str">
            <v>Counting reinfection | L | incomp | HIV+ nIC</v>
          </cell>
        </row>
        <row r="79">
          <cell r="C79">
            <v>73</v>
          </cell>
          <cell r="D79" t="str">
            <v>Death | HIV+ nIC</v>
          </cell>
        </row>
        <row r="80">
          <cell r="C80">
            <v>74</v>
          </cell>
          <cell r="D80" t="str">
            <v>TB Death | infectious and undetected | HIV+ nIC</v>
          </cell>
        </row>
        <row r="81">
          <cell r="C81">
            <v>75</v>
          </cell>
          <cell r="D81" t="str">
            <v>TB Death | under treatment | HIV+ nIC</v>
          </cell>
        </row>
        <row r="82">
          <cell r="C82">
            <v>76</v>
          </cell>
          <cell r="D82" t="str">
            <v>S | naïve | HIV+ IC</v>
          </cell>
        </row>
        <row r="83">
          <cell r="C83">
            <v>77</v>
          </cell>
          <cell r="D83" t="str">
            <v>L | naïve | HIV+ IC</v>
          </cell>
        </row>
        <row r="84">
          <cell r="C84">
            <v>78</v>
          </cell>
          <cell r="D84" t="str">
            <v>L | comp | HIV+ IC</v>
          </cell>
        </row>
        <row r="85">
          <cell r="C85">
            <v>79</v>
          </cell>
          <cell r="D85" t="str">
            <v>L | incomp | HIV+ IC</v>
          </cell>
        </row>
        <row r="86">
          <cell r="C86">
            <v>80</v>
          </cell>
          <cell r="D86" t="str">
            <v>L | comp IPT | HIV+ IC</v>
          </cell>
        </row>
        <row r="87">
          <cell r="C87">
            <v>81</v>
          </cell>
          <cell r="D87" t="str">
            <v>I | naïve | HIV+ IC</v>
          </cell>
        </row>
        <row r="88">
          <cell r="C88">
            <v>82</v>
          </cell>
          <cell r="D88" t="str">
            <v>I | comp | HIV+ IC</v>
          </cell>
        </row>
        <row r="89">
          <cell r="C89">
            <v>83</v>
          </cell>
          <cell r="D89" t="str">
            <v>I | incomp | HIV+ IC</v>
          </cell>
        </row>
        <row r="90">
          <cell r="C90">
            <v>84</v>
          </cell>
          <cell r="D90" t="str">
            <v>T | comp | HIV+ IC</v>
          </cell>
        </row>
        <row r="91">
          <cell r="C91">
            <v>85</v>
          </cell>
          <cell r="D91" t="str">
            <v>T | incomp | HIV+ IC</v>
          </cell>
        </row>
        <row r="92">
          <cell r="C92">
            <v>86</v>
          </cell>
          <cell r="D92" t="str">
            <v>If progress | S | naïve | HIV+ IC</v>
          </cell>
        </row>
        <row r="93">
          <cell r="C93">
            <v>87</v>
          </cell>
          <cell r="D93" t="str">
            <v>If progress | L | naïve | HIV+ IC</v>
          </cell>
        </row>
        <row r="94">
          <cell r="C94">
            <v>88</v>
          </cell>
          <cell r="D94" t="str">
            <v>If progress | L | comp | HIV+ IC</v>
          </cell>
        </row>
        <row r="95">
          <cell r="C95">
            <v>89</v>
          </cell>
          <cell r="D95" t="str">
            <v>If progress | L | incomp | HIV+ IC</v>
          </cell>
        </row>
        <row r="96">
          <cell r="C96">
            <v>90</v>
          </cell>
          <cell r="D96" t="str">
            <v>If progress | L | comp IPT | HIV+ IC</v>
          </cell>
        </row>
        <row r="97">
          <cell r="C97">
            <v>91</v>
          </cell>
          <cell r="D97" t="str">
            <v>If will complete treatment | I | naïve | HIV+ IC</v>
          </cell>
        </row>
        <row r="98">
          <cell r="C98">
            <v>92</v>
          </cell>
          <cell r="D98" t="str">
            <v>If will complete treatment | I | comp | HIV+ IC</v>
          </cell>
        </row>
        <row r="99">
          <cell r="C99">
            <v>93</v>
          </cell>
          <cell r="D99" t="str">
            <v>If will complete treatment | I | incomp | HIV+ IC</v>
          </cell>
        </row>
        <row r="100">
          <cell r="C100">
            <v>94</v>
          </cell>
          <cell r="D100" t="str">
            <v>If ART | if assigned to T comp | I | naïve | HIV+ IC</v>
          </cell>
        </row>
        <row r="101">
          <cell r="C101">
            <v>95</v>
          </cell>
          <cell r="D101" t="str">
            <v>If ART | if assigned to T comp | I | comp | HIV+ IC</v>
          </cell>
        </row>
        <row r="102">
          <cell r="C102">
            <v>96</v>
          </cell>
          <cell r="D102" t="str">
            <v>If ART | if assigned to T comp | I | incomp | HIV+ IC</v>
          </cell>
        </row>
        <row r="103">
          <cell r="C103">
            <v>97</v>
          </cell>
          <cell r="D103" t="str">
            <v>If ART | if assigned to T incomp | I | naïve | HIV+ IC</v>
          </cell>
        </row>
        <row r="104">
          <cell r="C104">
            <v>98</v>
          </cell>
          <cell r="D104" t="str">
            <v>If ART | if assigned to T incomp | I | comp | HIV+ IC</v>
          </cell>
        </row>
        <row r="105">
          <cell r="C105">
            <v>99</v>
          </cell>
          <cell r="D105" t="str">
            <v>If ART | if assigned to T incomp | I | incomp | HIV+ IC</v>
          </cell>
        </row>
        <row r="106">
          <cell r="C106">
            <v>100</v>
          </cell>
          <cell r="D106" t="str">
            <v>If will receive IPT after | T | comp | HIV+ IC</v>
          </cell>
        </row>
        <row r="107">
          <cell r="C107">
            <v>101</v>
          </cell>
          <cell r="D107" t="str">
            <v>If still infectious | leaving | T | incomp | HIV+ IC</v>
          </cell>
        </row>
        <row r="108">
          <cell r="C108">
            <v>102</v>
          </cell>
          <cell r="D108" t="str">
            <v>Counting TB Incident to I | incomp | HIV+ IC</v>
          </cell>
        </row>
        <row r="109">
          <cell r="C109">
            <v>103</v>
          </cell>
          <cell r="D109" t="str">
            <v>Counting receiving IPT | T | comp | HIV+ IC</v>
          </cell>
        </row>
        <row r="110">
          <cell r="C110">
            <v>104</v>
          </cell>
          <cell r="D110" t="str">
            <v>Counting cases detected through ACF | L | comp | HIV+ IC</v>
          </cell>
        </row>
        <row r="111">
          <cell r="C111">
            <v>105</v>
          </cell>
          <cell r="D111" t="str">
            <v>Counting cases detected through ACF | L | incomp | HIV+ IC</v>
          </cell>
        </row>
        <row r="112">
          <cell r="C112">
            <v>106</v>
          </cell>
          <cell r="D112" t="str">
            <v>Counting cases detected through ACF | L | comp IPT | HIV+ IC</v>
          </cell>
        </row>
        <row r="113">
          <cell r="C113">
            <v>107</v>
          </cell>
          <cell r="D113" t="str">
            <v>Counting cases detected through ACF | I | comp | HIV+ IC</v>
          </cell>
        </row>
        <row r="114">
          <cell r="C114">
            <v>108</v>
          </cell>
          <cell r="D114" t="str">
            <v>Counting cases detected through ACF | I | incomp | HIV+ IC</v>
          </cell>
        </row>
        <row r="115">
          <cell r="C115">
            <v>109</v>
          </cell>
          <cell r="D115" t="str">
            <v>Counting reinfection | L | comp | HIV+ IC</v>
          </cell>
        </row>
        <row r="116">
          <cell r="C116">
            <v>110</v>
          </cell>
          <cell r="D116" t="str">
            <v>Counting reinfection | L | incomp | HIV+ IC</v>
          </cell>
        </row>
        <row r="117">
          <cell r="C117">
            <v>111</v>
          </cell>
          <cell r="D117" t="str">
            <v>Death | HIV+ IC</v>
          </cell>
        </row>
        <row r="118">
          <cell r="C118">
            <v>112</v>
          </cell>
          <cell r="D118" t="str">
            <v>TB Death | infectious and undetected | HIV+ IC</v>
          </cell>
        </row>
        <row r="119">
          <cell r="C119">
            <v>113</v>
          </cell>
          <cell r="D119" t="str">
            <v>TB Death | under treatment | HIV+ IC</v>
          </cell>
        </row>
        <row r="120">
          <cell r="C120">
            <v>114</v>
          </cell>
          <cell r="D120" t="str">
            <v>S | naïve | ART</v>
          </cell>
        </row>
        <row r="121">
          <cell r="C121">
            <v>115</v>
          </cell>
          <cell r="D121" t="str">
            <v>L | naïve | ART</v>
          </cell>
        </row>
        <row r="122">
          <cell r="C122">
            <v>116</v>
          </cell>
          <cell r="D122" t="str">
            <v>L | comp | ART</v>
          </cell>
        </row>
        <row r="123">
          <cell r="C123">
            <v>117</v>
          </cell>
          <cell r="D123" t="str">
            <v>L | incomp | ART</v>
          </cell>
        </row>
        <row r="124">
          <cell r="C124">
            <v>118</v>
          </cell>
          <cell r="D124" t="str">
            <v>L | comp IPT | ART</v>
          </cell>
        </row>
        <row r="125">
          <cell r="C125">
            <v>119</v>
          </cell>
          <cell r="D125" t="str">
            <v>I | naïve | ART</v>
          </cell>
        </row>
        <row r="126">
          <cell r="C126">
            <v>120</v>
          </cell>
          <cell r="D126" t="str">
            <v>I | comp | ART</v>
          </cell>
        </row>
        <row r="127">
          <cell r="C127">
            <v>121</v>
          </cell>
          <cell r="D127" t="str">
            <v>I | incomp | ART</v>
          </cell>
        </row>
        <row r="128">
          <cell r="C128">
            <v>122</v>
          </cell>
          <cell r="D128" t="str">
            <v>T | comp | ART</v>
          </cell>
        </row>
        <row r="129">
          <cell r="C129">
            <v>123</v>
          </cell>
          <cell r="D129" t="str">
            <v>T | incomp | ART</v>
          </cell>
        </row>
        <row r="130">
          <cell r="C130">
            <v>124</v>
          </cell>
          <cell r="D130" t="str">
            <v>If progress | S | naïve | ART</v>
          </cell>
        </row>
        <row r="131">
          <cell r="C131">
            <v>125</v>
          </cell>
          <cell r="D131" t="str">
            <v>If progress | L | naïve | ART</v>
          </cell>
        </row>
        <row r="132">
          <cell r="C132">
            <v>126</v>
          </cell>
          <cell r="D132" t="str">
            <v>If progress | L | comp | ART</v>
          </cell>
        </row>
        <row r="133">
          <cell r="C133">
            <v>127</v>
          </cell>
          <cell r="D133" t="str">
            <v>If progress | L | incomp | ART</v>
          </cell>
        </row>
        <row r="134">
          <cell r="C134">
            <v>128</v>
          </cell>
          <cell r="D134" t="str">
            <v>If progress | L | comp IPT | ART</v>
          </cell>
        </row>
        <row r="135">
          <cell r="C135">
            <v>129</v>
          </cell>
          <cell r="D135" t="str">
            <v>If will complete treatment | I | naïve | ART</v>
          </cell>
        </row>
        <row r="136">
          <cell r="C136">
            <v>130</v>
          </cell>
          <cell r="D136" t="str">
            <v>If will complete treatment | I | comp | ART</v>
          </cell>
        </row>
        <row r="137">
          <cell r="C137">
            <v>131</v>
          </cell>
          <cell r="D137" t="str">
            <v>If will complete treatment | I | incomp | ART</v>
          </cell>
        </row>
        <row r="138">
          <cell r="C138">
            <v>132</v>
          </cell>
          <cell r="D138" t="str">
            <v>If ART | if assigned to T comp | I | naïve | ART</v>
          </cell>
        </row>
        <row r="139">
          <cell r="C139">
            <v>133</v>
          </cell>
          <cell r="D139" t="str">
            <v>If ART | if assigned to T comp | I | comp | ART</v>
          </cell>
        </row>
        <row r="140">
          <cell r="C140">
            <v>134</v>
          </cell>
          <cell r="D140" t="str">
            <v>If ART | if assigned to T comp | I | incomp | ART</v>
          </cell>
        </row>
        <row r="141">
          <cell r="C141">
            <v>135</v>
          </cell>
          <cell r="D141" t="str">
            <v>If ART | if assigned to T incomp | I | naïve | ART</v>
          </cell>
        </row>
        <row r="142">
          <cell r="C142">
            <v>136</v>
          </cell>
          <cell r="D142" t="str">
            <v>If ART | if assigned to T incomp | I | comp | ART</v>
          </cell>
        </row>
        <row r="143">
          <cell r="C143">
            <v>137</v>
          </cell>
          <cell r="D143" t="str">
            <v>If ART | if assigned to T incomp | I | incomp | ART</v>
          </cell>
        </row>
        <row r="144">
          <cell r="C144">
            <v>138</v>
          </cell>
          <cell r="D144" t="str">
            <v>If will receive IPT after | T | comp | ART</v>
          </cell>
        </row>
        <row r="145">
          <cell r="C145">
            <v>139</v>
          </cell>
          <cell r="D145" t="str">
            <v>If still infectious | leaving | T | incomp | ART</v>
          </cell>
        </row>
        <row r="146">
          <cell r="C146">
            <v>140</v>
          </cell>
          <cell r="D146" t="str">
            <v>Counting TB Incident to I | incomp | ART</v>
          </cell>
        </row>
        <row r="147">
          <cell r="C147">
            <v>141</v>
          </cell>
          <cell r="D147" t="str">
            <v>Counting receiving IPT | T | comp | ART</v>
          </cell>
        </row>
        <row r="148">
          <cell r="C148">
            <v>142</v>
          </cell>
          <cell r="D148" t="str">
            <v>Counting cases detected through ACF | L | comp | ART</v>
          </cell>
        </row>
        <row r="149">
          <cell r="C149">
            <v>143</v>
          </cell>
          <cell r="D149" t="str">
            <v>Counting cases detected through ACF | L | incomp | ART</v>
          </cell>
        </row>
        <row r="150">
          <cell r="C150">
            <v>144</v>
          </cell>
          <cell r="D150" t="str">
            <v>Counting cases detected through ACF | L | comp IPT | ART</v>
          </cell>
        </row>
        <row r="151">
          <cell r="C151">
            <v>145</v>
          </cell>
          <cell r="D151" t="str">
            <v>Counting cases detected through ACF | I | comp | ART</v>
          </cell>
        </row>
        <row r="152">
          <cell r="C152">
            <v>146</v>
          </cell>
          <cell r="D152" t="str">
            <v>Counting cases detected through ACF | I | incomp | ART</v>
          </cell>
        </row>
        <row r="153">
          <cell r="C153">
            <v>147</v>
          </cell>
          <cell r="D153" t="str">
            <v>Counting reinfection | L | comp | ART</v>
          </cell>
        </row>
        <row r="154">
          <cell r="C154">
            <v>148</v>
          </cell>
          <cell r="D154" t="str">
            <v>Counting reinfection | L | incomp | ART</v>
          </cell>
        </row>
        <row r="155">
          <cell r="C155">
            <v>149</v>
          </cell>
          <cell r="D155" t="str">
            <v>Death | ART</v>
          </cell>
        </row>
        <row r="156">
          <cell r="C156">
            <v>150</v>
          </cell>
          <cell r="D156" t="str">
            <v>TB Death | infectious and undetected | ART</v>
          </cell>
        </row>
        <row r="157">
          <cell r="C157">
            <v>151</v>
          </cell>
          <cell r="D157" t="str">
            <v>TB Death | under treatment | ART</v>
          </cell>
        </row>
        <row r="158">
          <cell r="C158">
            <v>152</v>
          </cell>
          <cell r="D158" t="str">
            <v>S | children</v>
          </cell>
        </row>
        <row r="159">
          <cell r="C159">
            <v>153</v>
          </cell>
          <cell r="D159" t="str">
            <v>L | children</v>
          </cell>
        </row>
        <row r="160">
          <cell r="C160">
            <v>154</v>
          </cell>
          <cell r="D160" t="str">
            <v>I | children</v>
          </cell>
        </row>
        <row r="161">
          <cell r="C161">
            <v>155</v>
          </cell>
          <cell r="D161" t="str">
            <v>R| children</v>
          </cell>
        </row>
        <row r="162">
          <cell r="C162">
            <v>156</v>
          </cell>
          <cell r="D162" t="str">
            <v>If progress | S | children</v>
          </cell>
        </row>
        <row r="163">
          <cell r="C163">
            <v>157</v>
          </cell>
          <cell r="D163" t="str">
            <v>If progress | L | children</v>
          </cell>
        </row>
        <row r="164">
          <cell r="C164">
            <v>158</v>
          </cell>
          <cell r="D164" t="str">
            <v>If will complete treatment | R| children</v>
          </cell>
        </row>
        <row r="165">
          <cell r="C165">
            <v>159</v>
          </cell>
          <cell r="D165" t="str">
            <v>Death | Children</v>
          </cell>
        </row>
        <row r="166">
          <cell r="C166">
            <v>160</v>
          </cell>
          <cell r="D166" t="str">
            <v>TB Death | Children</v>
          </cell>
        </row>
        <row r="167">
          <cell r="C167">
            <v>161</v>
          </cell>
          <cell r="D167" t="str">
            <v>Counting ART Initiation | S | naïve | ART</v>
          </cell>
        </row>
        <row r="168">
          <cell r="C168">
            <v>162</v>
          </cell>
          <cell r="D168" t="str">
            <v>Counting ART Initiation | L | naïve | ART</v>
          </cell>
        </row>
        <row r="169">
          <cell r="C169">
            <v>163</v>
          </cell>
          <cell r="D169" t="str">
            <v>Counting ART Initiation | L | comp | ART</v>
          </cell>
        </row>
        <row r="170">
          <cell r="C170">
            <v>164</v>
          </cell>
          <cell r="D170" t="str">
            <v>Counting ART Initiation | L | incomp | ART</v>
          </cell>
        </row>
        <row r="171">
          <cell r="C171">
            <v>165</v>
          </cell>
          <cell r="D171" t="str">
            <v>Counting ART Initiation | L | comp IPT | ART</v>
          </cell>
        </row>
        <row r="172">
          <cell r="C172">
            <v>166</v>
          </cell>
          <cell r="D172" t="str">
            <v>Counting ART Initiation | I | naïve | ART</v>
          </cell>
        </row>
        <row r="173">
          <cell r="C173">
            <v>167</v>
          </cell>
          <cell r="D173" t="str">
            <v>Counting ART Initiation | I | comp | ART</v>
          </cell>
        </row>
        <row r="174">
          <cell r="C174">
            <v>168</v>
          </cell>
          <cell r="D174" t="str">
            <v>Counting ART Initiation | I | incomp | ART</v>
          </cell>
        </row>
        <row r="175">
          <cell r="C175">
            <v>169</v>
          </cell>
          <cell r="D175" t="str">
            <v>Counting ART Initiation | T | comp | ART</v>
          </cell>
        </row>
        <row r="176">
          <cell r="C176">
            <v>170</v>
          </cell>
          <cell r="D176" t="str">
            <v>Counting ART Initiation | T | incomp | ART</v>
          </cell>
        </row>
        <row r="177">
          <cell r="C177"/>
          <cell r="D177"/>
        </row>
        <row r="178">
          <cell r="C178"/>
          <cell r="D178"/>
        </row>
        <row r="179">
          <cell r="C179"/>
          <cell r="D179"/>
        </row>
        <row r="180">
          <cell r="C180"/>
          <cell r="D180"/>
        </row>
        <row r="181">
          <cell r="C181"/>
          <cell r="D181"/>
        </row>
        <row r="182">
          <cell r="C182"/>
          <cell r="D182"/>
        </row>
        <row r="183">
          <cell r="C183"/>
          <cell r="D183"/>
        </row>
        <row r="184">
          <cell r="C184"/>
          <cell r="D184"/>
        </row>
        <row r="185">
          <cell r="C185"/>
          <cell r="D185"/>
        </row>
        <row r="198">
          <cell r="D198"/>
        </row>
        <row r="199">
          <cell r="D199"/>
        </row>
        <row r="200">
          <cell r="D200"/>
        </row>
        <row r="201">
          <cell r="D201"/>
        </row>
        <row r="202">
          <cell r="D202"/>
        </row>
        <row r="203">
          <cell r="D203"/>
        </row>
        <row r="204">
          <cell r="D204"/>
        </row>
        <row r="205">
          <cell r="D205"/>
        </row>
        <row r="206">
          <cell r="D206"/>
        </row>
        <row r="207">
          <cell r="D207"/>
        </row>
        <row r="208">
          <cell r="D208"/>
        </row>
        <row r="209">
          <cell r="D209"/>
        </row>
        <row r="210">
          <cell r="D210"/>
        </row>
        <row r="211">
          <cell r="D211"/>
        </row>
        <row r="212">
          <cell r="D212"/>
        </row>
      </sheetData>
      <sheetData sheetId="9">
        <row r="29">
          <cell r="D29" t="str">
            <v>Active TB Incidence</v>
          </cell>
        </row>
      </sheetData>
      <sheetData sheetId="10"/>
      <sheetData sheetId="11"/>
      <sheetData sheetId="12">
        <row r="6">
          <cell r="C6">
            <v>0</v>
          </cell>
          <cell r="D6" t="str">
            <v xml:space="preserve">Birth </v>
          </cell>
        </row>
        <row r="7">
          <cell r="C7">
            <v>1</v>
          </cell>
          <cell r="D7" t="str">
            <v>Aging | S | children</v>
          </cell>
        </row>
        <row r="8">
          <cell r="C8">
            <v>2</v>
          </cell>
          <cell r="D8" t="str">
            <v>Aging | L | children</v>
          </cell>
        </row>
        <row r="9">
          <cell r="C9">
            <v>3</v>
          </cell>
          <cell r="D9" t="str">
            <v>Aging | I | children</v>
          </cell>
        </row>
        <row r="10">
          <cell r="C10">
            <v>4</v>
          </cell>
          <cell r="D10" t="str">
            <v>Aging | R| children</v>
          </cell>
        </row>
        <row r="11">
          <cell r="C11">
            <v>5</v>
          </cell>
          <cell r="D11" t="str">
            <v>Natural death | S | naïve | HIV -</v>
          </cell>
        </row>
        <row r="12">
          <cell r="C12">
            <v>6</v>
          </cell>
          <cell r="D12" t="str">
            <v>Natural death | L | naïve | HIV -</v>
          </cell>
        </row>
        <row r="13">
          <cell r="C13">
            <v>7</v>
          </cell>
          <cell r="D13" t="str">
            <v>Natural death | L | comp | HIV -</v>
          </cell>
        </row>
        <row r="14">
          <cell r="C14">
            <v>8</v>
          </cell>
          <cell r="D14" t="str">
            <v>Natural death | L | incomp | HIV -</v>
          </cell>
        </row>
        <row r="15">
          <cell r="C15">
            <v>9</v>
          </cell>
          <cell r="D15" t="str">
            <v>Natural death | L | comp IPT | HIV -</v>
          </cell>
        </row>
        <row r="16">
          <cell r="C16">
            <v>10</v>
          </cell>
          <cell r="D16" t="str">
            <v>Natural death | I | naïve | HIV -</v>
          </cell>
        </row>
        <row r="17">
          <cell r="C17">
            <v>11</v>
          </cell>
          <cell r="D17" t="str">
            <v>Natural death | I | comp | HIV -</v>
          </cell>
        </row>
        <row r="18">
          <cell r="C18">
            <v>12</v>
          </cell>
          <cell r="D18" t="str">
            <v>Natural death | I | incomp | HIV -</v>
          </cell>
        </row>
        <row r="19">
          <cell r="C19">
            <v>13</v>
          </cell>
          <cell r="D19" t="str">
            <v>Natural death | T | comp | HIV -</v>
          </cell>
        </row>
        <row r="20">
          <cell r="C20">
            <v>14</v>
          </cell>
          <cell r="D20" t="str">
            <v>Natural death | T | incomp | HIV -</v>
          </cell>
        </row>
        <row r="21">
          <cell r="C21">
            <v>15</v>
          </cell>
          <cell r="D21" t="str">
            <v>Natural death | S | naïve | HIV+ nIC</v>
          </cell>
        </row>
        <row r="22">
          <cell r="C22">
            <v>16</v>
          </cell>
          <cell r="D22" t="str">
            <v>Natural death | L | naïve | HIV+ nIC</v>
          </cell>
        </row>
        <row r="23">
          <cell r="C23">
            <v>17</v>
          </cell>
          <cell r="D23" t="str">
            <v>Natural death | L | comp | HIV+ nIC</v>
          </cell>
        </row>
        <row r="24">
          <cell r="C24">
            <v>18</v>
          </cell>
          <cell r="D24" t="str">
            <v>Natural death | L | incomp | HIV+ nIC</v>
          </cell>
        </row>
        <row r="25">
          <cell r="C25">
            <v>19</v>
          </cell>
          <cell r="D25" t="str">
            <v>Natural death | L | comp IPT | HIV+ nIC</v>
          </cell>
        </row>
        <row r="26">
          <cell r="C26">
            <v>20</v>
          </cell>
          <cell r="D26" t="str">
            <v>Natural death | I | naïve | HIV+ nIC</v>
          </cell>
        </row>
        <row r="27">
          <cell r="C27">
            <v>21</v>
          </cell>
          <cell r="D27" t="str">
            <v>Natural death | I | comp | HIV+ nIC</v>
          </cell>
        </row>
        <row r="28">
          <cell r="C28">
            <v>22</v>
          </cell>
          <cell r="D28" t="str">
            <v>Natural death | I | incomp | HIV+ nIC</v>
          </cell>
        </row>
        <row r="29">
          <cell r="C29">
            <v>23</v>
          </cell>
          <cell r="D29" t="str">
            <v>Natural death | T | comp | HIV+ nIC</v>
          </cell>
        </row>
        <row r="30">
          <cell r="C30">
            <v>24</v>
          </cell>
          <cell r="D30" t="str">
            <v>Natural death | T | incomp | HIV+ nIC</v>
          </cell>
        </row>
        <row r="31">
          <cell r="C31">
            <v>25</v>
          </cell>
          <cell r="D31" t="str">
            <v>Natural death | S | naïve | HIV+ IC</v>
          </cell>
        </row>
        <row r="32">
          <cell r="C32">
            <v>26</v>
          </cell>
          <cell r="D32" t="str">
            <v>Natural death | L | naïve | HIV+ IC</v>
          </cell>
        </row>
        <row r="33">
          <cell r="C33">
            <v>27</v>
          </cell>
          <cell r="D33" t="str">
            <v>Natural death | L | comp | HIV+ IC</v>
          </cell>
        </row>
        <row r="34">
          <cell r="C34">
            <v>28</v>
          </cell>
          <cell r="D34" t="str">
            <v>Natural death | L | incomp | HIV+ IC</v>
          </cell>
        </row>
        <row r="35">
          <cell r="C35">
            <v>29</v>
          </cell>
          <cell r="D35" t="str">
            <v>Natural death | L | comp IPT | HIV+ IC</v>
          </cell>
        </row>
        <row r="36">
          <cell r="C36">
            <v>30</v>
          </cell>
          <cell r="D36" t="str">
            <v>Natural death | I | naïve | HIV+ IC</v>
          </cell>
        </row>
        <row r="37">
          <cell r="C37">
            <v>31</v>
          </cell>
          <cell r="D37" t="str">
            <v>Natural death | I | comp | HIV+ IC</v>
          </cell>
        </row>
        <row r="38">
          <cell r="C38">
            <v>32</v>
          </cell>
          <cell r="D38" t="str">
            <v>Natural death | I | incomp | HIV+ IC</v>
          </cell>
        </row>
        <row r="39">
          <cell r="C39">
            <v>33</v>
          </cell>
          <cell r="D39" t="str">
            <v>Natural death | T | comp | HIV+ IC</v>
          </cell>
        </row>
        <row r="40">
          <cell r="C40">
            <v>34</v>
          </cell>
          <cell r="D40" t="str">
            <v>Natural death | T | incomp | HIV+ IC</v>
          </cell>
        </row>
        <row r="41">
          <cell r="C41">
            <v>35</v>
          </cell>
          <cell r="D41" t="str">
            <v>Natural death | S | naïve | ART</v>
          </cell>
        </row>
        <row r="42">
          <cell r="C42">
            <v>36</v>
          </cell>
          <cell r="D42" t="str">
            <v>Natural death | L | naïve | ART</v>
          </cell>
        </row>
        <row r="43">
          <cell r="C43">
            <v>37</v>
          </cell>
          <cell r="D43" t="str">
            <v>Natural death | L | comp | ART</v>
          </cell>
        </row>
        <row r="44">
          <cell r="C44">
            <v>38</v>
          </cell>
          <cell r="D44" t="str">
            <v>Natural death | L | incomp | ART</v>
          </cell>
        </row>
        <row r="45">
          <cell r="C45">
            <v>39</v>
          </cell>
          <cell r="D45" t="str">
            <v>Natural death | L | comp IPT | ART</v>
          </cell>
        </row>
        <row r="46">
          <cell r="C46">
            <v>40</v>
          </cell>
          <cell r="D46" t="str">
            <v>Natural death | I | naïve | ART</v>
          </cell>
        </row>
        <row r="47">
          <cell r="C47">
            <v>41</v>
          </cell>
          <cell r="D47" t="str">
            <v>Natural death | I | comp | ART</v>
          </cell>
        </row>
        <row r="48">
          <cell r="C48">
            <v>42</v>
          </cell>
          <cell r="D48" t="str">
            <v>Natural death | I | incomp | ART</v>
          </cell>
        </row>
        <row r="49">
          <cell r="C49">
            <v>43</v>
          </cell>
          <cell r="D49" t="str">
            <v>Natural death | T | comp | ART</v>
          </cell>
        </row>
        <row r="50">
          <cell r="C50">
            <v>44</v>
          </cell>
          <cell r="D50" t="str">
            <v>Natural death | T | incomp | ART</v>
          </cell>
        </row>
        <row r="51">
          <cell r="C51">
            <v>45</v>
          </cell>
          <cell r="D51" t="str">
            <v>Natural death | S | children</v>
          </cell>
        </row>
        <row r="52">
          <cell r="C52">
            <v>46</v>
          </cell>
          <cell r="D52" t="str">
            <v>Natural death | L | children</v>
          </cell>
        </row>
        <row r="53">
          <cell r="C53">
            <v>47</v>
          </cell>
          <cell r="D53" t="str">
            <v>Natural death | I | children</v>
          </cell>
        </row>
        <row r="54">
          <cell r="C54">
            <v>48</v>
          </cell>
          <cell r="D54" t="str">
            <v>Natural death | R| children</v>
          </cell>
        </row>
        <row r="55">
          <cell r="C55">
            <v>49</v>
          </cell>
          <cell r="D55" t="str">
            <v>HIV death | S | naïve | HIV+ nIC</v>
          </cell>
        </row>
        <row r="56">
          <cell r="C56">
            <v>50</v>
          </cell>
          <cell r="D56" t="str">
            <v>HIV death | L | naïve | HIV+ nIC</v>
          </cell>
        </row>
        <row r="57">
          <cell r="C57">
            <v>51</v>
          </cell>
          <cell r="D57" t="str">
            <v>HIV death | L | comp | HIV+ nIC</v>
          </cell>
        </row>
        <row r="58">
          <cell r="C58">
            <v>52</v>
          </cell>
          <cell r="D58" t="str">
            <v>HIV death | L | incomp | HIV+ nIC</v>
          </cell>
        </row>
        <row r="59">
          <cell r="C59">
            <v>53</v>
          </cell>
          <cell r="D59" t="str">
            <v>HIV death | L | comp IPT | HIV+ nIC</v>
          </cell>
        </row>
        <row r="60">
          <cell r="C60">
            <v>54</v>
          </cell>
          <cell r="D60" t="str">
            <v>HIV death | I | naïve | HIV+ nIC</v>
          </cell>
        </row>
        <row r="61">
          <cell r="C61">
            <v>55</v>
          </cell>
          <cell r="D61" t="str">
            <v>HIV death | I | comp | HIV+ nIC</v>
          </cell>
        </row>
        <row r="62">
          <cell r="C62">
            <v>56</v>
          </cell>
          <cell r="D62" t="str">
            <v>HIV death | I | incomp | HIV+ nIC</v>
          </cell>
        </row>
        <row r="63">
          <cell r="C63">
            <v>57</v>
          </cell>
          <cell r="D63" t="str">
            <v>HIV death | T | comp | HIV+ nIC</v>
          </cell>
        </row>
        <row r="64">
          <cell r="C64">
            <v>58</v>
          </cell>
          <cell r="D64" t="str">
            <v>HIV death | T | incomp | HIV+ nIC</v>
          </cell>
        </row>
        <row r="65">
          <cell r="C65">
            <v>59</v>
          </cell>
          <cell r="D65" t="str">
            <v>HIV death | S | naïve | HIV+ IC</v>
          </cell>
        </row>
        <row r="66">
          <cell r="C66">
            <v>60</v>
          </cell>
          <cell r="D66" t="str">
            <v>HIV death | L | naïve | HIV+ IC</v>
          </cell>
        </row>
        <row r="67">
          <cell r="C67">
            <v>61</v>
          </cell>
          <cell r="D67" t="str">
            <v>HIV death | L | comp | HIV+ IC</v>
          </cell>
        </row>
        <row r="68">
          <cell r="C68">
            <v>62</v>
          </cell>
          <cell r="D68" t="str">
            <v>HIV death | L | incomp | HIV+ IC</v>
          </cell>
        </row>
        <row r="69">
          <cell r="C69">
            <v>63</v>
          </cell>
          <cell r="D69" t="str">
            <v>HIV death | L | comp IPT | HIV+ IC</v>
          </cell>
        </row>
        <row r="70">
          <cell r="C70">
            <v>64</v>
          </cell>
          <cell r="D70" t="str">
            <v>HIV death | I | naïve | HIV+ IC</v>
          </cell>
        </row>
        <row r="71">
          <cell r="C71">
            <v>65</v>
          </cell>
          <cell r="D71" t="str">
            <v>HIV death | I | comp | HIV+ IC</v>
          </cell>
        </row>
        <row r="72">
          <cell r="C72">
            <v>66</v>
          </cell>
          <cell r="D72" t="str">
            <v>HIV death | I | incomp | HIV+ IC</v>
          </cell>
        </row>
        <row r="73">
          <cell r="C73">
            <v>67</v>
          </cell>
          <cell r="D73" t="str">
            <v>HIV death | T | comp | HIV+ IC</v>
          </cell>
        </row>
        <row r="74">
          <cell r="C74">
            <v>68</v>
          </cell>
          <cell r="D74" t="str">
            <v>HIV death | T | incomp | HIV+ IC</v>
          </cell>
        </row>
        <row r="75">
          <cell r="C75">
            <v>69</v>
          </cell>
          <cell r="D75" t="str">
            <v>HIV death | S | naïve | ART</v>
          </cell>
        </row>
        <row r="76">
          <cell r="C76">
            <v>70</v>
          </cell>
          <cell r="D76" t="str">
            <v>HIV death | L | naïve | ART</v>
          </cell>
        </row>
        <row r="77">
          <cell r="C77">
            <v>71</v>
          </cell>
          <cell r="D77" t="str">
            <v>HIV death | L | comp | ART</v>
          </cell>
        </row>
        <row r="78">
          <cell r="C78">
            <v>72</v>
          </cell>
          <cell r="D78" t="str">
            <v>HIV death | L | incomp | ART</v>
          </cell>
        </row>
        <row r="79">
          <cell r="C79">
            <v>73</v>
          </cell>
          <cell r="D79" t="str">
            <v>HIV death | L | comp IPT | ART</v>
          </cell>
        </row>
        <row r="80">
          <cell r="C80">
            <v>74</v>
          </cell>
          <cell r="D80" t="str">
            <v>HIV death | I | naïve | ART</v>
          </cell>
        </row>
        <row r="81">
          <cell r="C81">
            <v>75</v>
          </cell>
          <cell r="D81" t="str">
            <v>HIV death | I | comp | ART</v>
          </cell>
        </row>
        <row r="82">
          <cell r="C82">
            <v>76</v>
          </cell>
          <cell r="D82" t="str">
            <v>HIV death | I | incomp | ART</v>
          </cell>
        </row>
        <row r="83">
          <cell r="C83">
            <v>77</v>
          </cell>
          <cell r="D83" t="str">
            <v>HIV death | T | comp | ART</v>
          </cell>
        </row>
        <row r="84">
          <cell r="C84">
            <v>78</v>
          </cell>
          <cell r="D84" t="str">
            <v>HIV death | T | incomp | ART</v>
          </cell>
        </row>
        <row r="85">
          <cell r="C85">
            <v>79</v>
          </cell>
          <cell r="D85" t="str">
            <v>HIV infection | S | naïve | HIV -</v>
          </cell>
        </row>
        <row r="86">
          <cell r="C86">
            <v>80</v>
          </cell>
          <cell r="D86" t="str">
            <v>HIV infection | L | naïve | HIV -</v>
          </cell>
        </row>
        <row r="87">
          <cell r="C87">
            <v>81</v>
          </cell>
          <cell r="D87" t="str">
            <v>HIV infection | L | comp | HIV -</v>
          </cell>
        </row>
        <row r="88">
          <cell r="C88">
            <v>82</v>
          </cell>
          <cell r="D88" t="str">
            <v>HIV infection | L | incomp | HIV -</v>
          </cell>
        </row>
        <row r="89">
          <cell r="C89">
            <v>83</v>
          </cell>
          <cell r="D89" t="str">
            <v>HIV infection | L | comp IPT | HIV -</v>
          </cell>
        </row>
        <row r="90">
          <cell r="C90">
            <v>84</v>
          </cell>
          <cell r="D90" t="str">
            <v>HIV infection | I | naïve | HIV -</v>
          </cell>
        </row>
        <row r="91">
          <cell r="C91">
            <v>85</v>
          </cell>
          <cell r="D91" t="str">
            <v>HIV infection | I | comp | HIV -</v>
          </cell>
        </row>
        <row r="92">
          <cell r="C92">
            <v>86</v>
          </cell>
          <cell r="D92" t="str">
            <v>HIV infection | I | incomp | HIV -</v>
          </cell>
        </row>
        <row r="93">
          <cell r="C93">
            <v>87</v>
          </cell>
          <cell r="D93" t="str">
            <v>HIV infection | T | comp | HIV -</v>
          </cell>
        </row>
        <row r="94">
          <cell r="C94">
            <v>88</v>
          </cell>
          <cell r="D94" t="str">
            <v>HIV infection | T | incomp | HIV -</v>
          </cell>
        </row>
        <row r="95">
          <cell r="C95">
            <v>89</v>
          </cell>
          <cell r="D95" t="str">
            <v>Progression to IC | S | naïve | HIV+ nIC</v>
          </cell>
        </row>
        <row r="96">
          <cell r="C96">
            <v>90</v>
          </cell>
          <cell r="D96" t="str">
            <v>Progression to IC | L | naïve | HIV+ nIC</v>
          </cell>
        </row>
        <row r="97">
          <cell r="C97">
            <v>91</v>
          </cell>
          <cell r="D97" t="str">
            <v>Progression to IC | L | comp | HIV+ nIC</v>
          </cell>
        </row>
        <row r="98">
          <cell r="C98">
            <v>92</v>
          </cell>
          <cell r="D98" t="str">
            <v>Progression to IC | L | incomp | HIV+ nIC</v>
          </cell>
        </row>
        <row r="99">
          <cell r="C99">
            <v>93</v>
          </cell>
          <cell r="D99" t="str">
            <v>Progression to IC | L | comp IPT | HIV+ nIC</v>
          </cell>
        </row>
        <row r="100">
          <cell r="C100">
            <v>94</v>
          </cell>
          <cell r="D100" t="str">
            <v>Progression to IC | I | naïve | HIV+ nIC</v>
          </cell>
        </row>
        <row r="101">
          <cell r="C101">
            <v>95</v>
          </cell>
          <cell r="D101" t="str">
            <v>Progression to IC | I | comp | HIV+ nIC</v>
          </cell>
        </row>
        <row r="102">
          <cell r="C102">
            <v>96</v>
          </cell>
          <cell r="D102" t="str">
            <v>Progression to IC | I | incomp | HIV+ nIC</v>
          </cell>
        </row>
        <row r="103">
          <cell r="C103">
            <v>97</v>
          </cell>
          <cell r="D103" t="str">
            <v>Progression to IC | T | comp | HIV+ nIC</v>
          </cell>
        </row>
        <row r="104">
          <cell r="C104">
            <v>98</v>
          </cell>
          <cell r="D104" t="str">
            <v>Progression to IC | T | incomp | HIV+ nIC</v>
          </cell>
        </row>
        <row r="105">
          <cell r="C105">
            <v>99</v>
          </cell>
          <cell r="D105" t="str">
            <v>ART Initiation | S | naïve | HIV+ nIC</v>
          </cell>
        </row>
        <row r="106">
          <cell r="C106">
            <v>100</v>
          </cell>
          <cell r="D106" t="str">
            <v>ART Initiation | L | naïve | HIV+ nIC</v>
          </cell>
        </row>
        <row r="107">
          <cell r="C107">
            <v>101</v>
          </cell>
          <cell r="D107" t="str">
            <v>ART Initiation | L | comp | HIV+ nIC</v>
          </cell>
        </row>
        <row r="108">
          <cell r="C108">
            <v>102</v>
          </cell>
          <cell r="D108" t="str">
            <v>ART Initiation | L | incomp | HIV+ nIC</v>
          </cell>
        </row>
        <row r="109">
          <cell r="C109">
            <v>103</v>
          </cell>
          <cell r="D109" t="str">
            <v>ART Initiation | L | comp IPT | HIV+ nIC</v>
          </cell>
        </row>
        <row r="110">
          <cell r="C110">
            <v>104</v>
          </cell>
          <cell r="D110" t="str">
            <v>ART Initiation | I | naïve | HIV+ nIC</v>
          </cell>
        </row>
        <row r="111">
          <cell r="C111">
            <v>105</v>
          </cell>
          <cell r="D111" t="str">
            <v>ART Initiation | I | comp | HIV+ nIC</v>
          </cell>
        </row>
        <row r="112">
          <cell r="C112">
            <v>106</v>
          </cell>
          <cell r="D112" t="str">
            <v>ART Initiation | I | incomp | HIV+ nIC</v>
          </cell>
        </row>
        <row r="113">
          <cell r="C113">
            <v>107</v>
          </cell>
          <cell r="D113" t="str">
            <v>ART Initiation | S | naïve | HIV+ IC</v>
          </cell>
        </row>
        <row r="114">
          <cell r="C114">
            <v>108</v>
          </cell>
          <cell r="D114" t="str">
            <v>ART Initiation | L | naïve | HIV+ IC</v>
          </cell>
        </row>
        <row r="115">
          <cell r="C115">
            <v>109</v>
          </cell>
          <cell r="D115" t="str">
            <v>ART Initiation | L | comp | HIV+ IC</v>
          </cell>
        </row>
        <row r="116">
          <cell r="C116">
            <v>110</v>
          </cell>
          <cell r="D116" t="str">
            <v>ART Initiation | L | incomp | HIV+ IC</v>
          </cell>
        </row>
        <row r="117">
          <cell r="C117">
            <v>111</v>
          </cell>
          <cell r="D117" t="str">
            <v>ART Initiation | L | comp IPT | HIV+ IC</v>
          </cell>
        </row>
        <row r="118">
          <cell r="C118">
            <v>112</v>
          </cell>
          <cell r="D118" t="str">
            <v>ART Initiation | I | naïve | HIV+ IC</v>
          </cell>
        </row>
        <row r="119">
          <cell r="C119">
            <v>113</v>
          </cell>
          <cell r="D119" t="str">
            <v>ART Initiation | I | comp | HIV+ IC</v>
          </cell>
        </row>
        <row r="120">
          <cell r="C120">
            <v>114</v>
          </cell>
          <cell r="D120" t="str">
            <v>ART Initiation | I | incomp | HIV+ IC</v>
          </cell>
        </row>
        <row r="121">
          <cell r="C121">
            <v>115</v>
          </cell>
          <cell r="D121" t="str">
            <v>TB infection | S | naïve | HIV -</v>
          </cell>
        </row>
        <row r="122">
          <cell r="C122">
            <v>116</v>
          </cell>
          <cell r="D122" t="str">
            <v>TB infection | L | naïve | HIV -</v>
          </cell>
        </row>
        <row r="123">
          <cell r="C123">
            <v>117</v>
          </cell>
          <cell r="D123" t="str">
            <v>TB infection | L | comp | HIV -</v>
          </cell>
        </row>
        <row r="124">
          <cell r="C124">
            <v>118</v>
          </cell>
          <cell r="D124" t="str">
            <v>TB infection | L | incomp | HIV -</v>
          </cell>
        </row>
        <row r="125">
          <cell r="C125">
            <v>119</v>
          </cell>
          <cell r="D125" t="str">
            <v>TB infection | L | comp IPT | HIV -</v>
          </cell>
        </row>
        <row r="126">
          <cell r="C126">
            <v>120</v>
          </cell>
          <cell r="D126" t="str">
            <v>TB infection | S | naïve | HIV+ nIC</v>
          </cell>
        </row>
        <row r="127">
          <cell r="C127">
            <v>121</v>
          </cell>
          <cell r="D127" t="str">
            <v>TB infection | L | naïve | HIV+ nIC</v>
          </cell>
        </row>
        <row r="128">
          <cell r="C128">
            <v>122</v>
          </cell>
          <cell r="D128" t="str">
            <v>TB infection | L | comp | HIV+ nIC</v>
          </cell>
        </row>
        <row r="129">
          <cell r="C129">
            <v>123</v>
          </cell>
          <cell r="D129" t="str">
            <v>TB infection | L | incomp | HIV+ nIC</v>
          </cell>
        </row>
        <row r="130">
          <cell r="C130">
            <v>124</v>
          </cell>
          <cell r="D130" t="str">
            <v>TB infection | L | comp IPT | HIV+ nIC</v>
          </cell>
        </row>
        <row r="131">
          <cell r="C131">
            <v>125</v>
          </cell>
          <cell r="D131" t="str">
            <v>TB infection | S | naïve | HIV+ IC</v>
          </cell>
        </row>
        <row r="132">
          <cell r="C132">
            <v>126</v>
          </cell>
          <cell r="D132" t="str">
            <v>TB infection | L | naïve | HIV+ IC</v>
          </cell>
        </row>
        <row r="133">
          <cell r="C133">
            <v>127</v>
          </cell>
          <cell r="D133" t="str">
            <v>TB infection | L | comp | HIV+ IC</v>
          </cell>
        </row>
        <row r="134">
          <cell r="C134">
            <v>128</v>
          </cell>
          <cell r="D134" t="str">
            <v>TB infection | L | incomp | HIV+ IC</v>
          </cell>
        </row>
        <row r="135">
          <cell r="C135">
            <v>129</v>
          </cell>
          <cell r="D135" t="str">
            <v>TB infection | L | comp IPT | HIV+ IC</v>
          </cell>
        </row>
        <row r="136">
          <cell r="C136">
            <v>130</v>
          </cell>
          <cell r="D136" t="str">
            <v>TB infection | S | naïve | ART</v>
          </cell>
        </row>
        <row r="137">
          <cell r="C137">
            <v>131</v>
          </cell>
          <cell r="D137" t="str">
            <v>TB infection | L | naïve | ART</v>
          </cell>
        </row>
        <row r="138">
          <cell r="C138">
            <v>132</v>
          </cell>
          <cell r="D138" t="str">
            <v>TB infection | L | comp | ART</v>
          </cell>
        </row>
        <row r="139">
          <cell r="C139">
            <v>133</v>
          </cell>
          <cell r="D139" t="str">
            <v>TB infection | L | incomp | ART</v>
          </cell>
        </row>
        <row r="140">
          <cell r="C140">
            <v>134</v>
          </cell>
          <cell r="D140" t="str">
            <v>TB infection | L | comp IPT | ART</v>
          </cell>
        </row>
        <row r="141">
          <cell r="C141">
            <v>135</v>
          </cell>
          <cell r="D141" t="str">
            <v>TB infection | S | children</v>
          </cell>
        </row>
        <row r="142">
          <cell r="C142">
            <v>136</v>
          </cell>
          <cell r="D142" t="str">
            <v>TB infection | L | children</v>
          </cell>
        </row>
        <row r="143">
          <cell r="C143">
            <v>137</v>
          </cell>
          <cell r="D143" t="str">
            <v>Prog to active TB | L | naïve | HIV -</v>
          </cell>
        </row>
        <row r="144">
          <cell r="C144">
            <v>138</v>
          </cell>
          <cell r="D144" t="str">
            <v>Prog to active TB | L | comp | HIV -</v>
          </cell>
        </row>
        <row r="145">
          <cell r="C145">
            <v>139</v>
          </cell>
          <cell r="D145" t="str">
            <v>Prog to active TB | L | incomp | HIV -</v>
          </cell>
        </row>
        <row r="146">
          <cell r="C146">
            <v>140</v>
          </cell>
          <cell r="D146" t="str">
            <v>Prog to active TB | L | comp IPT | HIV -</v>
          </cell>
        </row>
        <row r="147">
          <cell r="C147">
            <v>141</v>
          </cell>
          <cell r="D147" t="str">
            <v>Prog to active TB | L | naïve | HIV+ nIC</v>
          </cell>
        </row>
        <row r="148">
          <cell r="C148">
            <v>142</v>
          </cell>
          <cell r="D148" t="str">
            <v>Prog to active TB | L | comp | HIV+ nIC</v>
          </cell>
        </row>
        <row r="149">
          <cell r="C149">
            <v>143</v>
          </cell>
          <cell r="D149" t="str">
            <v>Prog to active TB | L | incomp | HIV+ nIC</v>
          </cell>
        </row>
        <row r="150">
          <cell r="C150">
            <v>144</v>
          </cell>
          <cell r="D150" t="str">
            <v>Prog to active TB | L | comp IPT | HIV+ nIC</v>
          </cell>
        </row>
        <row r="151">
          <cell r="C151">
            <v>145</v>
          </cell>
          <cell r="D151" t="str">
            <v>Prog to active TB | L | naïve | HIV+ IC</v>
          </cell>
        </row>
        <row r="152">
          <cell r="C152">
            <v>146</v>
          </cell>
          <cell r="D152" t="str">
            <v>Prog to active TB | L | comp | HIV+ IC</v>
          </cell>
        </row>
        <row r="153">
          <cell r="C153">
            <v>147</v>
          </cell>
          <cell r="D153" t="str">
            <v>Prog to active TB | L | incomp | HIV+ IC</v>
          </cell>
        </row>
        <row r="154">
          <cell r="C154">
            <v>148</v>
          </cell>
          <cell r="D154" t="str">
            <v>Prog to active TB | L | comp IPT | HIV+ IC</v>
          </cell>
        </row>
        <row r="155">
          <cell r="C155">
            <v>149</v>
          </cell>
          <cell r="D155" t="str">
            <v>Prog to active TB | L | naïve | ART</v>
          </cell>
        </row>
        <row r="156">
          <cell r="C156">
            <v>150</v>
          </cell>
          <cell r="D156" t="str">
            <v>Prog to active TB | L | comp | ART</v>
          </cell>
        </row>
        <row r="157">
          <cell r="C157">
            <v>151</v>
          </cell>
          <cell r="D157" t="str">
            <v>Prog to active TB | L | incomp | ART</v>
          </cell>
        </row>
        <row r="158">
          <cell r="C158">
            <v>152</v>
          </cell>
          <cell r="D158" t="str">
            <v>Prog to active TB | L | comp IPT | ART</v>
          </cell>
        </row>
        <row r="159">
          <cell r="C159">
            <v>153</v>
          </cell>
          <cell r="D159" t="str">
            <v>Prog to active TB | L | children</v>
          </cell>
        </row>
        <row r="160">
          <cell r="C160">
            <v>154</v>
          </cell>
          <cell r="D160" t="str">
            <v>IPT Catch-Up in 2006 | L | comp | HIV -</v>
          </cell>
        </row>
        <row r="161">
          <cell r="C161">
            <v>155</v>
          </cell>
          <cell r="D161" t="str">
            <v>IPT Catch-Up in 2006 | L | comp | HIV+ nIC</v>
          </cell>
        </row>
        <row r="162">
          <cell r="C162">
            <v>156</v>
          </cell>
          <cell r="D162" t="str">
            <v>IPT Catch-Up in 2006 | L | comp | HIV+ IC</v>
          </cell>
        </row>
        <row r="163">
          <cell r="C163">
            <v>157</v>
          </cell>
          <cell r="D163" t="str">
            <v>IPT Catch-Up in 2006 | L | comp | ART</v>
          </cell>
        </row>
        <row r="164">
          <cell r="C164">
            <v>158</v>
          </cell>
          <cell r="D164" t="str">
            <v>IPT Dropout | L | comp IPT | HIV -</v>
          </cell>
        </row>
        <row r="165">
          <cell r="C165">
            <v>159</v>
          </cell>
          <cell r="D165" t="str">
            <v>IPT Dropout | L | comp IPT | HIV+ nIC</v>
          </cell>
        </row>
        <row r="166">
          <cell r="C166">
            <v>160</v>
          </cell>
          <cell r="D166" t="str">
            <v>IPT Dropout | L | comp IPT | HIV+ IC</v>
          </cell>
        </row>
        <row r="167">
          <cell r="C167">
            <v>161</v>
          </cell>
          <cell r="D167" t="str">
            <v>IPT Dropout | L | comp IPT | ART</v>
          </cell>
        </row>
        <row r="168">
          <cell r="C168">
            <v>162</v>
          </cell>
          <cell r="D168" t="str">
            <v>Natural recovery | I | naïve | HIV -</v>
          </cell>
        </row>
        <row r="169">
          <cell r="C169">
            <v>163</v>
          </cell>
          <cell r="D169" t="str">
            <v>Natural recovery | I | comp | HIV -</v>
          </cell>
        </row>
        <row r="170">
          <cell r="C170">
            <v>164</v>
          </cell>
          <cell r="D170" t="str">
            <v>Natural recovery | I | incomp | HIV -</v>
          </cell>
        </row>
        <row r="171">
          <cell r="C171">
            <v>165</v>
          </cell>
          <cell r="D171" t="str">
            <v>Natural recovery | I | naïve | HIV+ nIC</v>
          </cell>
        </row>
        <row r="172">
          <cell r="C172">
            <v>166</v>
          </cell>
          <cell r="D172" t="str">
            <v>Natural recovery | I | comp | HIV+ nIC</v>
          </cell>
        </row>
        <row r="173">
          <cell r="C173">
            <v>167</v>
          </cell>
          <cell r="D173" t="str">
            <v>Natural recovery | I | incomp | HIV+ nIC</v>
          </cell>
        </row>
        <row r="174">
          <cell r="C174">
            <v>168</v>
          </cell>
          <cell r="D174" t="str">
            <v>Natural recovery | I | naïve | HIV+ IC</v>
          </cell>
        </row>
        <row r="175">
          <cell r="C175">
            <v>169</v>
          </cell>
          <cell r="D175" t="str">
            <v>Natural recovery | I | comp | HIV+ IC</v>
          </cell>
        </row>
        <row r="176">
          <cell r="C176">
            <v>170</v>
          </cell>
          <cell r="D176" t="str">
            <v>Natural recovery | I | incomp | HIV+ IC</v>
          </cell>
        </row>
        <row r="177">
          <cell r="C177">
            <v>171</v>
          </cell>
          <cell r="D177" t="str">
            <v>Natural recovery | I | naïve | ART</v>
          </cell>
        </row>
        <row r="178">
          <cell r="C178">
            <v>172</v>
          </cell>
          <cell r="D178" t="str">
            <v>Natural recovery | I | comp | ART</v>
          </cell>
        </row>
        <row r="179">
          <cell r="C179">
            <v>173</v>
          </cell>
          <cell r="D179" t="str">
            <v>Natural recovery | I | incomp | ART</v>
          </cell>
        </row>
        <row r="180">
          <cell r="C180">
            <v>174</v>
          </cell>
          <cell r="D180" t="str">
            <v>Natural recovery | I | children</v>
          </cell>
        </row>
        <row r="181">
          <cell r="C181">
            <v>175</v>
          </cell>
          <cell r="D181" t="str">
            <v>Detection | I | naïve | HIV -</v>
          </cell>
        </row>
        <row r="182">
          <cell r="C182">
            <v>176</v>
          </cell>
          <cell r="D182" t="str">
            <v>Detection | I | comp | HIV -</v>
          </cell>
        </row>
        <row r="183">
          <cell r="C183">
            <v>177</v>
          </cell>
          <cell r="D183" t="str">
            <v>Detection | I | incomp | HIV -</v>
          </cell>
        </row>
        <row r="184">
          <cell r="C184">
            <v>178</v>
          </cell>
          <cell r="D184" t="str">
            <v>Detection | I | naïve | HIV+ nIC</v>
          </cell>
        </row>
        <row r="185">
          <cell r="C185">
            <v>179</v>
          </cell>
          <cell r="D185" t="str">
            <v>Detection | I | comp | HIV+ nIC</v>
          </cell>
        </row>
        <row r="186">
          <cell r="C186">
            <v>180</v>
          </cell>
          <cell r="D186" t="str">
            <v>Detection | I | incomp | HIV+ nIC</v>
          </cell>
        </row>
        <row r="187">
          <cell r="C187">
            <v>181</v>
          </cell>
          <cell r="D187" t="str">
            <v>Detection | I | naïve | HIV+ IC</v>
          </cell>
        </row>
        <row r="188">
          <cell r="C188">
            <v>182</v>
          </cell>
          <cell r="D188" t="str">
            <v>Detection | I | comp | HIV+ IC</v>
          </cell>
        </row>
        <row r="189">
          <cell r="C189">
            <v>183</v>
          </cell>
          <cell r="D189" t="str">
            <v>Detection | I | incomp | HIV+ IC</v>
          </cell>
        </row>
        <row r="190">
          <cell r="C190">
            <v>184</v>
          </cell>
          <cell r="D190" t="str">
            <v>Detection | I | naïve | ART</v>
          </cell>
        </row>
        <row r="191">
          <cell r="C191">
            <v>185</v>
          </cell>
          <cell r="D191" t="str">
            <v>Detection | I | comp | ART</v>
          </cell>
        </row>
        <row r="192">
          <cell r="C192">
            <v>186</v>
          </cell>
          <cell r="D192" t="str">
            <v>Detection | I | incomp | ART</v>
          </cell>
        </row>
        <row r="193">
          <cell r="C193">
            <v>187</v>
          </cell>
          <cell r="D193" t="str">
            <v>Detection and Treatment | I | children</v>
          </cell>
        </row>
        <row r="194">
          <cell r="C194">
            <v>188</v>
          </cell>
          <cell r="D194" t="str">
            <v>ICF | L | comp | HIV -</v>
          </cell>
        </row>
        <row r="195">
          <cell r="C195">
            <v>189</v>
          </cell>
          <cell r="D195" t="str">
            <v>ICF | L | incomp | HIV -</v>
          </cell>
        </row>
        <row r="196">
          <cell r="C196">
            <v>190</v>
          </cell>
          <cell r="D196" t="str">
            <v>ICF | L | comp IPT | HIV -</v>
          </cell>
        </row>
        <row r="197">
          <cell r="C197">
            <v>191</v>
          </cell>
          <cell r="D197" t="str">
            <v>ICF | L | comp | HIV+ nIC</v>
          </cell>
        </row>
        <row r="198">
          <cell r="C198">
            <v>192</v>
          </cell>
          <cell r="D198" t="str">
            <v>ICF | L | incomp | HIV+ nIC</v>
          </cell>
        </row>
        <row r="199">
          <cell r="C199">
            <v>193</v>
          </cell>
          <cell r="D199" t="str">
            <v>ICF | L | comp IPT | HIV+ nIC</v>
          </cell>
        </row>
        <row r="200">
          <cell r="C200">
            <v>194</v>
          </cell>
          <cell r="D200" t="str">
            <v>ICF | L | comp | HIV+ IC</v>
          </cell>
        </row>
        <row r="201">
          <cell r="C201">
            <v>195</v>
          </cell>
          <cell r="D201" t="str">
            <v>ICF | L | incomp | HIV+ IC</v>
          </cell>
        </row>
        <row r="202">
          <cell r="C202">
            <v>196</v>
          </cell>
          <cell r="D202" t="str">
            <v>ICF | L | comp IPT | HIV+ IC</v>
          </cell>
        </row>
        <row r="203">
          <cell r="C203">
            <v>197</v>
          </cell>
          <cell r="D203" t="str">
            <v>ICF | L | comp | ART</v>
          </cell>
        </row>
        <row r="204">
          <cell r="C204">
            <v>198</v>
          </cell>
          <cell r="D204" t="str">
            <v>ICF | L | incomp | ART</v>
          </cell>
        </row>
        <row r="205">
          <cell r="C205">
            <v>199</v>
          </cell>
          <cell r="D205" t="str">
            <v>ICF | L | comp IPT | ART</v>
          </cell>
        </row>
        <row r="206">
          <cell r="C206">
            <v>200</v>
          </cell>
          <cell r="D206" t="str">
            <v>ICF | I | comp | HIV -</v>
          </cell>
        </row>
        <row r="207">
          <cell r="C207">
            <v>201</v>
          </cell>
          <cell r="D207" t="str">
            <v>ICF | I | incomp | HIV -</v>
          </cell>
        </row>
        <row r="208">
          <cell r="C208">
            <v>202</v>
          </cell>
          <cell r="D208" t="str">
            <v>ICF | I | comp | HIV+ nIC</v>
          </cell>
        </row>
        <row r="209">
          <cell r="C209">
            <v>203</v>
          </cell>
          <cell r="D209" t="str">
            <v>ICF | I | incomp | HIV+ nIC</v>
          </cell>
        </row>
        <row r="210">
          <cell r="C210">
            <v>204</v>
          </cell>
          <cell r="D210" t="str">
            <v>ICF | I | comp | HIV+ IC</v>
          </cell>
        </row>
        <row r="211">
          <cell r="C211">
            <v>205</v>
          </cell>
          <cell r="D211" t="str">
            <v>ICF | I | incomp | HIV+ IC</v>
          </cell>
        </row>
        <row r="212">
          <cell r="C212">
            <v>206</v>
          </cell>
          <cell r="D212" t="str">
            <v>ICF | I | comp | ART</v>
          </cell>
        </row>
        <row r="213">
          <cell r="C213">
            <v>207</v>
          </cell>
          <cell r="D213" t="str">
            <v>ICF | I | incomp | ART</v>
          </cell>
        </row>
        <row r="214">
          <cell r="C214">
            <v>208</v>
          </cell>
          <cell r="D214" t="str">
            <v>Recover |T | comp | HIV -</v>
          </cell>
        </row>
        <row r="215">
          <cell r="C215">
            <v>209</v>
          </cell>
          <cell r="D215" t="str">
            <v>Recover |T | comp | HIV+ nIC</v>
          </cell>
        </row>
        <row r="216">
          <cell r="C216">
            <v>210</v>
          </cell>
          <cell r="D216" t="str">
            <v>Recover |T | comp | HIV+ IC</v>
          </cell>
        </row>
        <row r="217">
          <cell r="C217">
            <v>211</v>
          </cell>
          <cell r="D217" t="str">
            <v>Recover |T | comp | ART</v>
          </cell>
        </row>
        <row r="218">
          <cell r="C218">
            <v>212</v>
          </cell>
          <cell r="D218" t="str">
            <v>Leave treatment |T | incomp | HIV -</v>
          </cell>
        </row>
        <row r="219">
          <cell r="C219">
            <v>213</v>
          </cell>
          <cell r="D219" t="str">
            <v>Leave treatment |T | incomp | HIV+ nIC</v>
          </cell>
        </row>
        <row r="220">
          <cell r="C220">
            <v>214</v>
          </cell>
          <cell r="D220" t="str">
            <v>Leave treatment |T | incomp | HIV+ IC</v>
          </cell>
        </row>
        <row r="221">
          <cell r="C221">
            <v>215</v>
          </cell>
          <cell r="D221" t="str">
            <v>Leave treatment |T | incomp | ART</v>
          </cell>
        </row>
        <row r="222">
          <cell r="C222">
            <v>216</v>
          </cell>
          <cell r="D222" t="str">
            <v>TB Death | I | naïve | HIV -</v>
          </cell>
        </row>
        <row r="223">
          <cell r="C223">
            <v>217</v>
          </cell>
          <cell r="D223" t="str">
            <v>TB Death | I | comp | HIV -</v>
          </cell>
        </row>
        <row r="224">
          <cell r="C224">
            <v>218</v>
          </cell>
          <cell r="D224" t="str">
            <v>TB Death | I | incomp | HIV -</v>
          </cell>
        </row>
        <row r="225">
          <cell r="C225">
            <v>219</v>
          </cell>
          <cell r="D225" t="str">
            <v>TB Death | I | naïve | HIV+ nIC</v>
          </cell>
        </row>
        <row r="226">
          <cell r="C226">
            <v>220</v>
          </cell>
          <cell r="D226" t="str">
            <v>TB Death | I | comp | HIV+ nIC</v>
          </cell>
        </row>
        <row r="227">
          <cell r="C227">
            <v>221</v>
          </cell>
          <cell r="D227" t="str">
            <v>TB Death | I | incomp | HIV+ nIC</v>
          </cell>
        </row>
        <row r="228">
          <cell r="C228">
            <v>222</v>
          </cell>
          <cell r="D228" t="str">
            <v>TB Death | I | naïve | HIV+ IC</v>
          </cell>
        </row>
        <row r="229">
          <cell r="C229">
            <v>223</v>
          </cell>
          <cell r="D229" t="str">
            <v>TB Death | I | comp | HIV+ IC</v>
          </cell>
        </row>
        <row r="230">
          <cell r="C230">
            <v>224</v>
          </cell>
          <cell r="D230" t="str">
            <v>TB Death | I | incomp | HIV+ IC</v>
          </cell>
        </row>
        <row r="231">
          <cell r="C231">
            <v>225</v>
          </cell>
          <cell r="D231" t="str">
            <v>TB Death | I | naïve | ART</v>
          </cell>
        </row>
        <row r="232">
          <cell r="C232">
            <v>226</v>
          </cell>
          <cell r="D232" t="str">
            <v>TB Death | I | comp | ART</v>
          </cell>
        </row>
        <row r="233">
          <cell r="C233">
            <v>227</v>
          </cell>
          <cell r="D233" t="str">
            <v>TB Death | I | incomp | ART</v>
          </cell>
        </row>
        <row r="234">
          <cell r="C234">
            <v>228</v>
          </cell>
          <cell r="D234" t="str">
            <v>TB Death | I | children</v>
          </cell>
        </row>
        <row r="235">
          <cell r="C235">
            <v>229</v>
          </cell>
          <cell r="D235" t="str">
            <v>TB Death | T | comp | HIV -</v>
          </cell>
        </row>
        <row r="236">
          <cell r="C236">
            <v>230</v>
          </cell>
          <cell r="D236" t="str">
            <v>TB Death | T | incomp | HIV -</v>
          </cell>
        </row>
        <row r="237">
          <cell r="C237">
            <v>231</v>
          </cell>
          <cell r="D237" t="str">
            <v>TB Death | T | comp | HIV+ nIC</v>
          </cell>
        </row>
        <row r="238">
          <cell r="C238">
            <v>232</v>
          </cell>
          <cell r="D238" t="str">
            <v>TB Death | T | incomp | HIV+ nIC</v>
          </cell>
        </row>
        <row r="239">
          <cell r="C239">
            <v>233</v>
          </cell>
          <cell r="D239" t="str">
            <v>TB Death | T | comp | HIV+ IC</v>
          </cell>
        </row>
        <row r="240">
          <cell r="C240">
            <v>234</v>
          </cell>
          <cell r="D240" t="str">
            <v>TB Death | T | incomp | HIV+ IC</v>
          </cell>
        </row>
        <row r="241">
          <cell r="C241">
            <v>235</v>
          </cell>
          <cell r="D241" t="str">
            <v>TB Death | T | comp | ART</v>
          </cell>
        </row>
        <row r="242">
          <cell r="C242">
            <v>236</v>
          </cell>
          <cell r="D242" t="str">
            <v>TB Death | T | incomp | ART</v>
          </cell>
        </row>
        <row r="243">
          <cell r="C243"/>
          <cell r="D243"/>
        </row>
        <row r="244">
          <cell r="C244"/>
          <cell r="D244"/>
        </row>
        <row r="245">
          <cell r="C245"/>
          <cell r="D245"/>
        </row>
        <row r="246">
          <cell r="C246"/>
          <cell r="D246"/>
        </row>
        <row r="247">
          <cell r="C247"/>
          <cell r="D247"/>
        </row>
        <row r="248">
          <cell r="C248"/>
          <cell r="D248"/>
        </row>
        <row r="249">
          <cell r="C249"/>
          <cell r="D249"/>
        </row>
        <row r="250">
          <cell r="C250"/>
          <cell r="D250"/>
        </row>
        <row r="251">
          <cell r="C251"/>
          <cell r="D251"/>
        </row>
        <row r="252">
          <cell r="C252"/>
          <cell r="D252"/>
        </row>
        <row r="253">
          <cell r="C253"/>
          <cell r="D253"/>
        </row>
        <row r="254">
          <cell r="C254"/>
          <cell r="D254"/>
        </row>
        <row r="255">
          <cell r="C255"/>
          <cell r="D255"/>
        </row>
        <row r="256">
          <cell r="C256"/>
          <cell r="D256"/>
        </row>
        <row r="257">
          <cell r="C257"/>
          <cell r="D257"/>
        </row>
        <row r="258">
          <cell r="C258"/>
          <cell r="D258"/>
        </row>
        <row r="259">
          <cell r="C259"/>
          <cell r="D259"/>
        </row>
        <row r="260">
          <cell r="C260"/>
          <cell r="D260"/>
        </row>
        <row r="261">
          <cell r="C261"/>
          <cell r="D261"/>
        </row>
        <row r="262">
          <cell r="C262"/>
          <cell r="D262"/>
        </row>
        <row r="263">
          <cell r="C263"/>
          <cell r="D263"/>
        </row>
        <row r="264">
          <cell r="C264"/>
          <cell r="D264"/>
        </row>
        <row r="265">
          <cell r="C265"/>
          <cell r="D265"/>
        </row>
        <row r="266">
          <cell r="C266"/>
          <cell r="D266"/>
        </row>
        <row r="267">
          <cell r="C267"/>
          <cell r="D267"/>
        </row>
        <row r="268">
          <cell r="C268"/>
          <cell r="D268"/>
        </row>
        <row r="269">
          <cell r="C269"/>
          <cell r="D269"/>
        </row>
        <row r="270">
          <cell r="C270"/>
          <cell r="D270"/>
        </row>
        <row r="271">
          <cell r="C271"/>
          <cell r="D271"/>
        </row>
        <row r="272">
          <cell r="C272"/>
          <cell r="D272"/>
        </row>
        <row r="273">
          <cell r="C273"/>
          <cell r="D273"/>
        </row>
        <row r="274">
          <cell r="C274"/>
          <cell r="D274"/>
        </row>
        <row r="275">
          <cell r="C275"/>
          <cell r="D275"/>
        </row>
        <row r="276">
          <cell r="C276"/>
          <cell r="D276"/>
        </row>
        <row r="277">
          <cell r="C277"/>
          <cell r="D277"/>
        </row>
        <row r="278">
          <cell r="C278"/>
          <cell r="D278"/>
        </row>
        <row r="279">
          <cell r="C279"/>
          <cell r="D279"/>
        </row>
        <row r="280">
          <cell r="C280"/>
          <cell r="D280"/>
        </row>
        <row r="281">
          <cell r="C281"/>
          <cell r="D281"/>
        </row>
        <row r="282">
          <cell r="C282"/>
          <cell r="D282"/>
        </row>
        <row r="283">
          <cell r="C283"/>
          <cell r="D283"/>
        </row>
        <row r="284">
          <cell r="C284"/>
          <cell r="D284"/>
        </row>
        <row r="285">
          <cell r="C285"/>
          <cell r="D285"/>
        </row>
        <row r="286">
          <cell r="C286"/>
          <cell r="D286"/>
        </row>
        <row r="287">
          <cell r="C287"/>
          <cell r="D287"/>
        </row>
        <row r="288">
          <cell r="C288"/>
          <cell r="D288"/>
        </row>
        <row r="289">
          <cell r="C289"/>
          <cell r="D289"/>
        </row>
        <row r="290">
          <cell r="C290"/>
          <cell r="D290"/>
        </row>
        <row r="291">
          <cell r="C291"/>
          <cell r="D291"/>
        </row>
        <row r="292">
          <cell r="C292"/>
          <cell r="D292"/>
        </row>
        <row r="293">
          <cell r="C293"/>
          <cell r="D293"/>
        </row>
        <row r="294">
          <cell r="C294"/>
          <cell r="D294"/>
        </row>
        <row r="295">
          <cell r="C295"/>
          <cell r="D295"/>
        </row>
        <row r="296">
          <cell r="C296"/>
          <cell r="D296"/>
        </row>
        <row r="297">
          <cell r="C297"/>
          <cell r="D297"/>
        </row>
        <row r="298">
          <cell r="C298"/>
          <cell r="D298"/>
        </row>
        <row r="299">
          <cell r="C299"/>
          <cell r="D299"/>
        </row>
        <row r="300">
          <cell r="C300"/>
          <cell r="D300"/>
        </row>
        <row r="301">
          <cell r="C301"/>
          <cell r="D301"/>
        </row>
        <row r="302">
          <cell r="C302"/>
          <cell r="D302"/>
        </row>
        <row r="303">
          <cell r="C303"/>
          <cell r="D303"/>
        </row>
        <row r="304">
          <cell r="C304"/>
          <cell r="D304"/>
        </row>
        <row r="305">
          <cell r="C305"/>
          <cell r="D305"/>
        </row>
        <row r="306">
          <cell r="C306"/>
          <cell r="D306"/>
        </row>
        <row r="307">
          <cell r="C307"/>
          <cell r="D307"/>
        </row>
        <row r="308">
          <cell r="C308"/>
          <cell r="D308"/>
        </row>
        <row r="309">
          <cell r="C309"/>
          <cell r="D309"/>
        </row>
        <row r="310">
          <cell r="C310"/>
          <cell r="D310"/>
        </row>
        <row r="311">
          <cell r="C311"/>
          <cell r="D311"/>
        </row>
        <row r="312">
          <cell r="C312"/>
          <cell r="D312"/>
        </row>
        <row r="313">
          <cell r="C313"/>
          <cell r="D313"/>
        </row>
        <row r="314">
          <cell r="C314"/>
          <cell r="D314"/>
        </row>
        <row r="315">
          <cell r="C315"/>
          <cell r="D315"/>
        </row>
        <row r="316">
          <cell r="C316"/>
          <cell r="D316"/>
        </row>
        <row r="317">
          <cell r="C317"/>
          <cell r="D317"/>
        </row>
        <row r="318">
          <cell r="C318"/>
          <cell r="D318"/>
        </row>
        <row r="319">
          <cell r="C319"/>
          <cell r="D319"/>
        </row>
        <row r="320">
          <cell r="C320"/>
          <cell r="D320"/>
        </row>
        <row r="321">
          <cell r="C321"/>
          <cell r="D321"/>
        </row>
        <row r="322">
          <cell r="C322"/>
          <cell r="D322"/>
        </row>
        <row r="323">
          <cell r="C323"/>
          <cell r="D323"/>
        </row>
        <row r="324">
          <cell r="C324"/>
          <cell r="D324"/>
        </row>
        <row r="325">
          <cell r="C325"/>
          <cell r="D325"/>
        </row>
        <row r="326">
          <cell r="C326"/>
          <cell r="D326"/>
        </row>
        <row r="327">
          <cell r="C327"/>
          <cell r="D327"/>
        </row>
        <row r="328">
          <cell r="C328"/>
          <cell r="D328"/>
        </row>
        <row r="329">
          <cell r="C329"/>
          <cell r="D329"/>
        </row>
        <row r="330">
          <cell r="C330"/>
          <cell r="D330"/>
        </row>
        <row r="331">
          <cell r="C331"/>
          <cell r="D331"/>
        </row>
        <row r="332">
          <cell r="C332"/>
          <cell r="D332"/>
        </row>
        <row r="333">
          <cell r="C333"/>
          <cell r="D333"/>
        </row>
        <row r="334">
          <cell r="C334"/>
          <cell r="D334"/>
        </row>
        <row r="335">
          <cell r="C335"/>
          <cell r="D335"/>
        </row>
        <row r="336">
          <cell r="C336"/>
          <cell r="D336"/>
        </row>
        <row r="337">
          <cell r="C337"/>
          <cell r="D337"/>
        </row>
        <row r="338">
          <cell r="C338"/>
          <cell r="D338"/>
        </row>
        <row r="339">
          <cell r="C339"/>
          <cell r="D339"/>
        </row>
        <row r="340">
          <cell r="C340"/>
          <cell r="D340"/>
        </row>
        <row r="341">
          <cell r="C341"/>
          <cell r="D341"/>
        </row>
        <row r="342">
          <cell r="C342"/>
          <cell r="D342"/>
        </row>
        <row r="343">
          <cell r="C343"/>
          <cell r="D343"/>
        </row>
        <row r="344">
          <cell r="C344"/>
          <cell r="D344"/>
        </row>
        <row r="345">
          <cell r="C345"/>
          <cell r="D345"/>
        </row>
        <row r="346">
          <cell r="C346"/>
          <cell r="D346"/>
        </row>
        <row r="347">
          <cell r="C347"/>
          <cell r="D347"/>
        </row>
        <row r="348">
          <cell r="C348"/>
          <cell r="D348"/>
        </row>
        <row r="349">
          <cell r="C349"/>
          <cell r="D349"/>
        </row>
        <row r="350">
          <cell r="C350"/>
          <cell r="D350"/>
        </row>
        <row r="351">
          <cell r="C351"/>
          <cell r="D351"/>
        </row>
        <row r="352">
          <cell r="C352"/>
          <cell r="D352"/>
        </row>
        <row r="353">
          <cell r="C353"/>
          <cell r="D353"/>
        </row>
        <row r="354">
          <cell r="C354"/>
          <cell r="D354"/>
        </row>
        <row r="355">
          <cell r="C355"/>
          <cell r="D355"/>
        </row>
        <row r="356">
          <cell r="C356"/>
          <cell r="D356"/>
        </row>
        <row r="357">
          <cell r="C357"/>
          <cell r="D357"/>
        </row>
        <row r="358">
          <cell r="C358"/>
          <cell r="D358"/>
        </row>
        <row r="359">
          <cell r="C359"/>
          <cell r="D359"/>
        </row>
        <row r="360">
          <cell r="C360"/>
          <cell r="D360"/>
        </row>
        <row r="361">
          <cell r="C361"/>
          <cell r="D361"/>
        </row>
        <row r="362">
          <cell r="C362"/>
          <cell r="D362"/>
        </row>
        <row r="363">
          <cell r="C363"/>
          <cell r="D363"/>
        </row>
        <row r="364">
          <cell r="C364"/>
          <cell r="D364"/>
        </row>
        <row r="365">
          <cell r="C365"/>
          <cell r="D365"/>
        </row>
        <row r="366">
          <cell r="C366"/>
          <cell r="D366"/>
        </row>
        <row r="367">
          <cell r="C367"/>
          <cell r="D367"/>
        </row>
        <row r="368">
          <cell r="C368"/>
          <cell r="D368"/>
        </row>
        <row r="369">
          <cell r="C369"/>
          <cell r="D369"/>
        </row>
        <row r="370">
          <cell r="C370"/>
          <cell r="D370"/>
        </row>
        <row r="371">
          <cell r="C371"/>
          <cell r="D371"/>
        </row>
        <row r="372">
          <cell r="C372"/>
          <cell r="D372"/>
        </row>
        <row r="373">
          <cell r="C373"/>
          <cell r="D373"/>
        </row>
        <row r="374">
          <cell r="C374"/>
          <cell r="D374"/>
        </row>
        <row r="375">
          <cell r="C375"/>
          <cell r="D375"/>
        </row>
        <row r="376">
          <cell r="C376"/>
          <cell r="D376"/>
        </row>
        <row r="377">
          <cell r="C377"/>
          <cell r="D377"/>
        </row>
        <row r="378">
          <cell r="C378"/>
          <cell r="D378"/>
        </row>
        <row r="379">
          <cell r="C379"/>
          <cell r="D379"/>
        </row>
        <row r="380">
          <cell r="C380"/>
          <cell r="D380"/>
        </row>
        <row r="381">
          <cell r="C381"/>
          <cell r="D381"/>
        </row>
        <row r="382">
          <cell r="C382"/>
          <cell r="D382"/>
        </row>
        <row r="383">
          <cell r="C383"/>
          <cell r="D383"/>
        </row>
        <row r="384">
          <cell r="C384"/>
          <cell r="D384"/>
        </row>
        <row r="385">
          <cell r="C385"/>
          <cell r="D385"/>
        </row>
        <row r="386">
          <cell r="C386"/>
          <cell r="D386"/>
        </row>
        <row r="387">
          <cell r="C387"/>
          <cell r="D387"/>
        </row>
        <row r="388">
          <cell r="C388"/>
          <cell r="D388"/>
        </row>
        <row r="389">
          <cell r="C389"/>
          <cell r="D389"/>
        </row>
        <row r="390">
          <cell r="C390"/>
          <cell r="D390"/>
        </row>
        <row r="391">
          <cell r="C391"/>
          <cell r="D391"/>
        </row>
        <row r="392">
          <cell r="C392"/>
          <cell r="D392"/>
        </row>
        <row r="393">
          <cell r="C393"/>
          <cell r="D393"/>
        </row>
        <row r="394">
          <cell r="C394"/>
          <cell r="D394"/>
        </row>
        <row r="395">
          <cell r="C395"/>
          <cell r="D395"/>
        </row>
        <row r="396">
          <cell r="C396"/>
          <cell r="D396"/>
        </row>
        <row r="397">
          <cell r="C397"/>
          <cell r="D397"/>
        </row>
        <row r="398">
          <cell r="C398"/>
          <cell r="D398"/>
        </row>
        <row r="399">
          <cell r="C399"/>
          <cell r="D399"/>
        </row>
        <row r="400">
          <cell r="C400"/>
          <cell r="D400"/>
        </row>
        <row r="401">
          <cell r="C401"/>
          <cell r="D401"/>
        </row>
        <row r="402">
          <cell r="C402"/>
          <cell r="D402"/>
        </row>
        <row r="403">
          <cell r="C403"/>
          <cell r="D403"/>
        </row>
        <row r="404">
          <cell r="C404"/>
          <cell r="D404"/>
        </row>
        <row r="405">
          <cell r="C405"/>
          <cell r="D405"/>
        </row>
        <row r="406">
          <cell r="C406"/>
          <cell r="D406"/>
        </row>
        <row r="407">
          <cell r="C407"/>
          <cell r="D407"/>
        </row>
        <row r="408">
          <cell r="C408"/>
          <cell r="D408"/>
        </row>
        <row r="409">
          <cell r="C409"/>
          <cell r="D409"/>
        </row>
        <row r="410">
          <cell r="C410"/>
          <cell r="D410"/>
        </row>
        <row r="411">
          <cell r="C411"/>
          <cell r="D411"/>
        </row>
        <row r="412">
          <cell r="C412"/>
          <cell r="D412"/>
        </row>
        <row r="413">
          <cell r="C413"/>
          <cell r="D413"/>
        </row>
        <row r="414">
          <cell r="C414"/>
          <cell r="D414"/>
        </row>
        <row r="415">
          <cell r="C415"/>
          <cell r="D415"/>
        </row>
        <row r="416">
          <cell r="C416"/>
          <cell r="D416"/>
        </row>
        <row r="417">
          <cell r="C417"/>
          <cell r="D417"/>
        </row>
        <row r="418">
          <cell r="C418"/>
          <cell r="D418"/>
        </row>
        <row r="419">
          <cell r="C419"/>
          <cell r="D419"/>
        </row>
        <row r="420">
          <cell r="C420"/>
          <cell r="D420"/>
        </row>
        <row r="421">
          <cell r="C421"/>
          <cell r="D421"/>
        </row>
        <row r="422">
          <cell r="C422"/>
          <cell r="D422"/>
        </row>
        <row r="423">
          <cell r="C423"/>
          <cell r="D423"/>
        </row>
        <row r="424">
          <cell r="C424"/>
          <cell r="D424"/>
        </row>
        <row r="425">
          <cell r="C425"/>
          <cell r="D425"/>
        </row>
        <row r="426">
          <cell r="C426"/>
          <cell r="D426"/>
        </row>
        <row r="427">
          <cell r="C427"/>
          <cell r="D427"/>
        </row>
        <row r="428">
          <cell r="C428"/>
          <cell r="D428"/>
        </row>
        <row r="429">
          <cell r="C429"/>
          <cell r="D429"/>
        </row>
        <row r="430">
          <cell r="C430"/>
          <cell r="D430"/>
        </row>
        <row r="431">
          <cell r="C431"/>
          <cell r="D431"/>
        </row>
        <row r="432">
          <cell r="C432"/>
          <cell r="D432"/>
        </row>
        <row r="433">
          <cell r="C433"/>
          <cell r="D433"/>
        </row>
        <row r="434">
          <cell r="C434"/>
          <cell r="D434"/>
        </row>
        <row r="435">
          <cell r="C435"/>
          <cell r="D435"/>
        </row>
        <row r="436">
          <cell r="C436"/>
          <cell r="D436"/>
        </row>
        <row r="437">
          <cell r="C437"/>
          <cell r="D437"/>
        </row>
        <row r="438">
          <cell r="C438"/>
          <cell r="D438"/>
        </row>
        <row r="439">
          <cell r="C439"/>
          <cell r="D439"/>
        </row>
        <row r="440">
          <cell r="C440"/>
          <cell r="D440"/>
        </row>
        <row r="441">
          <cell r="C441"/>
          <cell r="D441"/>
        </row>
        <row r="442">
          <cell r="C442"/>
          <cell r="D442"/>
        </row>
        <row r="443">
          <cell r="C443"/>
          <cell r="D443"/>
        </row>
        <row r="444">
          <cell r="C444"/>
          <cell r="D444"/>
        </row>
        <row r="445">
          <cell r="C445"/>
          <cell r="D445"/>
        </row>
        <row r="446">
          <cell r="C446"/>
          <cell r="D446"/>
        </row>
        <row r="447">
          <cell r="C447"/>
          <cell r="D447"/>
        </row>
        <row r="448">
          <cell r="C448"/>
          <cell r="D448"/>
        </row>
        <row r="449">
          <cell r="C449"/>
          <cell r="D449"/>
        </row>
        <row r="450">
          <cell r="C450"/>
          <cell r="D450"/>
        </row>
        <row r="451">
          <cell r="C451"/>
          <cell r="D451"/>
        </row>
        <row r="452">
          <cell r="C452"/>
          <cell r="D452"/>
        </row>
        <row r="453">
          <cell r="C453"/>
          <cell r="D453"/>
        </row>
        <row r="454">
          <cell r="C454"/>
          <cell r="D454"/>
        </row>
        <row r="455">
          <cell r="C455"/>
          <cell r="D455"/>
        </row>
        <row r="456">
          <cell r="C456"/>
          <cell r="D456"/>
        </row>
        <row r="457">
          <cell r="C457"/>
          <cell r="D457"/>
        </row>
        <row r="458">
          <cell r="C458"/>
          <cell r="D458"/>
        </row>
        <row r="459">
          <cell r="C459"/>
          <cell r="D459"/>
        </row>
        <row r="460">
          <cell r="C460"/>
          <cell r="D460"/>
        </row>
        <row r="461">
          <cell r="C461"/>
          <cell r="D461"/>
        </row>
        <row r="462">
          <cell r="C462"/>
          <cell r="D462"/>
        </row>
        <row r="463">
          <cell r="C463"/>
          <cell r="D463"/>
        </row>
        <row r="464">
          <cell r="C464"/>
          <cell r="D464"/>
        </row>
        <row r="465">
          <cell r="C465"/>
          <cell r="D465"/>
        </row>
        <row r="466">
          <cell r="C466"/>
          <cell r="D466"/>
        </row>
        <row r="467">
          <cell r="C467"/>
          <cell r="D467"/>
        </row>
        <row r="468">
          <cell r="C468"/>
          <cell r="D468"/>
        </row>
        <row r="469">
          <cell r="C469"/>
          <cell r="D469"/>
        </row>
        <row r="470">
          <cell r="C470"/>
          <cell r="D470"/>
        </row>
        <row r="471">
          <cell r="C471"/>
          <cell r="D471"/>
        </row>
        <row r="472">
          <cell r="C472"/>
          <cell r="D472"/>
        </row>
        <row r="473">
          <cell r="C473"/>
          <cell r="D473"/>
        </row>
        <row r="474">
          <cell r="C474"/>
          <cell r="D474"/>
        </row>
        <row r="475">
          <cell r="C475"/>
          <cell r="D475"/>
        </row>
        <row r="476">
          <cell r="C476"/>
          <cell r="D476"/>
        </row>
        <row r="477">
          <cell r="C477"/>
          <cell r="D477"/>
        </row>
        <row r="478">
          <cell r="C478"/>
          <cell r="D478"/>
        </row>
        <row r="479">
          <cell r="C479"/>
          <cell r="D479"/>
        </row>
        <row r="480">
          <cell r="C480"/>
          <cell r="D480"/>
        </row>
        <row r="481">
          <cell r="C481"/>
          <cell r="D481"/>
        </row>
        <row r="482">
          <cell r="C482"/>
          <cell r="D482"/>
        </row>
        <row r="483">
          <cell r="C483"/>
          <cell r="D483"/>
        </row>
        <row r="484">
          <cell r="C484"/>
          <cell r="D484"/>
        </row>
        <row r="485">
          <cell r="C485"/>
          <cell r="D485"/>
        </row>
        <row r="486">
          <cell r="C486"/>
          <cell r="D486"/>
        </row>
        <row r="487">
          <cell r="C487"/>
          <cell r="D487"/>
        </row>
        <row r="488">
          <cell r="C488"/>
          <cell r="D488"/>
        </row>
        <row r="489">
          <cell r="C489"/>
          <cell r="D489"/>
        </row>
        <row r="490">
          <cell r="C490"/>
          <cell r="D490"/>
        </row>
        <row r="491">
          <cell r="C491"/>
          <cell r="D491"/>
        </row>
        <row r="492">
          <cell r="C492"/>
          <cell r="D492"/>
        </row>
        <row r="493">
          <cell r="C493"/>
          <cell r="D493"/>
        </row>
        <row r="494">
          <cell r="C494"/>
          <cell r="D494"/>
        </row>
        <row r="495">
          <cell r="C495"/>
          <cell r="D495"/>
        </row>
        <row r="496">
          <cell r="C496"/>
          <cell r="D496"/>
        </row>
        <row r="497">
          <cell r="C497"/>
          <cell r="D497"/>
        </row>
        <row r="498">
          <cell r="C498"/>
          <cell r="D498"/>
        </row>
        <row r="499">
          <cell r="C499"/>
          <cell r="D499"/>
        </row>
        <row r="500">
          <cell r="C500"/>
          <cell r="D500"/>
        </row>
        <row r="501">
          <cell r="C501"/>
          <cell r="D501"/>
        </row>
        <row r="502">
          <cell r="C502"/>
          <cell r="D502"/>
        </row>
        <row r="503">
          <cell r="C503"/>
          <cell r="D503"/>
        </row>
        <row r="504">
          <cell r="C504"/>
          <cell r="D504"/>
        </row>
        <row r="505">
          <cell r="C505"/>
          <cell r="D505"/>
        </row>
        <row r="506">
          <cell r="C506"/>
          <cell r="D506"/>
        </row>
        <row r="507">
          <cell r="C507"/>
          <cell r="D507"/>
        </row>
        <row r="508">
          <cell r="C508"/>
          <cell r="D508"/>
        </row>
        <row r="509">
          <cell r="C509"/>
          <cell r="D509"/>
        </row>
        <row r="510">
          <cell r="C510"/>
          <cell r="D510"/>
        </row>
        <row r="511">
          <cell r="C511"/>
          <cell r="D511"/>
        </row>
        <row r="512">
          <cell r="C512"/>
          <cell r="D512"/>
        </row>
        <row r="513">
          <cell r="C513"/>
          <cell r="D513"/>
        </row>
        <row r="514">
          <cell r="C514"/>
          <cell r="D514"/>
        </row>
        <row r="515">
          <cell r="C515"/>
          <cell r="D515"/>
        </row>
        <row r="516">
          <cell r="C516"/>
          <cell r="D516"/>
        </row>
        <row r="517">
          <cell r="C517"/>
          <cell r="D517"/>
        </row>
        <row r="518">
          <cell r="C518"/>
          <cell r="D518"/>
        </row>
        <row r="519">
          <cell r="C519"/>
          <cell r="D519"/>
        </row>
        <row r="520">
          <cell r="C520"/>
          <cell r="D520"/>
        </row>
        <row r="521">
          <cell r="C521"/>
          <cell r="D521"/>
        </row>
        <row r="522">
          <cell r="C522"/>
          <cell r="D522"/>
        </row>
        <row r="523">
          <cell r="C523"/>
          <cell r="D523"/>
        </row>
        <row r="524">
          <cell r="C524"/>
          <cell r="D524"/>
        </row>
        <row r="525">
          <cell r="C525"/>
          <cell r="D525"/>
        </row>
        <row r="526">
          <cell r="C526"/>
          <cell r="D526"/>
        </row>
        <row r="527">
          <cell r="C527"/>
          <cell r="D527"/>
        </row>
        <row r="528">
          <cell r="C528"/>
          <cell r="D528"/>
        </row>
        <row r="529">
          <cell r="C529"/>
          <cell r="D529"/>
        </row>
        <row r="530">
          <cell r="C530"/>
          <cell r="D530"/>
        </row>
        <row r="531">
          <cell r="C531"/>
          <cell r="D531"/>
        </row>
        <row r="532">
          <cell r="C532"/>
          <cell r="D532"/>
        </row>
        <row r="533">
          <cell r="C533"/>
          <cell r="D533"/>
        </row>
        <row r="534">
          <cell r="C534"/>
          <cell r="D534"/>
        </row>
        <row r="535">
          <cell r="C535"/>
          <cell r="D535"/>
        </row>
        <row r="536">
          <cell r="C536"/>
          <cell r="D536"/>
        </row>
        <row r="537">
          <cell r="C537"/>
          <cell r="D537"/>
        </row>
        <row r="538">
          <cell r="C538"/>
          <cell r="D538"/>
        </row>
        <row r="539">
          <cell r="C539"/>
          <cell r="D539"/>
        </row>
        <row r="540">
          <cell r="C540"/>
          <cell r="D540"/>
        </row>
        <row r="541">
          <cell r="C541"/>
          <cell r="D541"/>
        </row>
        <row r="542">
          <cell r="C542"/>
          <cell r="D542"/>
        </row>
        <row r="543">
          <cell r="C543"/>
          <cell r="D543"/>
        </row>
        <row r="544">
          <cell r="C544"/>
          <cell r="D544"/>
        </row>
        <row r="545">
          <cell r="C545"/>
          <cell r="D545"/>
        </row>
        <row r="546">
          <cell r="C546"/>
          <cell r="D546"/>
        </row>
        <row r="547">
          <cell r="C547"/>
          <cell r="D547"/>
        </row>
        <row r="548">
          <cell r="C548"/>
          <cell r="D548"/>
        </row>
        <row r="549">
          <cell r="C549"/>
          <cell r="D549"/>
        </row>
        <row r="550">
          <cell r="C550"/>
          <cell r="D550"/>
        </row>
        <row r="551">
          <cell r="C551"/>
          <cell r="D551"/>
        </row>
        <row r="552">
          <cell r="C552"/>
          <cell r="D552"/>
        </row>
        <row r="553">
          <cell r="C553"/>
          <cell r="D553"/>
        </row>
        <row r="554">
          <cell r="C554"/>
          <cell r="D554"/>
        </row>
        <row r="555">
          <cell r="C555"/>
          <cell r="D555"/>
        </row>
        <row r="556">
          <cell r="C556"/>
          <cell r="D556"/>
        </row>
        <row r="557">
          <cell r="C557"/>
          <cell r="D557"/>
        </row>
        <row r="558">
          <cell r="C558"/>
          <cell r="D558"/>
        </row>
        <row r="559">
          <cell r="C559"/>
          <cell r="D559"/>
        </row>
        <row r="560">
          <cell r="C560"/>
          <cell r="D560"/>
        </row>
        <row r="561">
          <cell r="C561"/>
          <cell r="D561"/>
        </row>
        <row r="562">
          <cell r="C562"/>
          <cell r="D562"/>
        </row>
        <row r="563">
          <cell r="C563"/>
          <cell r="D563"/>
        </row>
        <row r="564">
          <cell r="C564"/>
          <cell r="D564"/>
        </row>
        <row r="565">
          <cell r="C565"/>
          <cell r="D565"/>
        </row>
        <row r="566">
          <cell r="C566"/>
          <cell r="D566"/>
        </row>
        <row r="567">
          <cell r="C567"/>
          <cell r="D567"/>
        </row>
        <row r="568">
          <cell r="C568"/>
          <cell r="D568"/>
        </row>
        <row r="569">
          <cell r="C569"/>
          <cell r="D569"/>
        </row>
        <row r="570">
          <cell r="C570"/>
          <cell r="D570"/>
        </row>
        <row r="571">
          <cell r="C571"/>
          <cell r="D571"/>
        </row>
        <row r="572">
          <cell r="C572"/>
          <cell r="D572"/>
        </row>
        <row r="573">
          <cell r="C573"/>
          <cell r="D573"/>
        </row>
        <row r="574">
          <cell r="C574"/>
          <cell r="D574"/>
        </row>
        <row r="575">
          <cell r="C575"/>
          <cell r="D575"/>
        </row>
        <row r="576">
          <cell r="C576"/>
          <cell r="D576"/>
        </row>
        <row r="577">
          <cell r="C577"/>
          <cell r="D577"/>
        </row>
        <row r="578">
          <cell r="C578"/>
          <cell r="D578"/>
        </row>
        <row r="579">
          <cell r="C579"/>
          <cell r="D579"/>
        </row>
        <row r="580">
          <cell r="C580"/>
          <cell r="D580"/>
        </row>
        <row r="581">
          <cell r="C581"/>
          <cell r="D581"/>
        </row>
        <row r="582">
          <cell r="C582"/>
          <cell r="D582"/>
        </row>
        <row r="583">
          <cell r="C583"/>
          <cell r="D583"/>
        </row>
        <row r="584">
          <cell r="C584"/>
          <cell r="D584"/>
        </row>
        <row r="585">
          <cell r="C585"/>
          <cell r="D585"/>
        </row>
        <row r="586">
          <cell r="C586"/>
          <cell r="D586"/>
        </row>
        <row r="587">
          <cell r="C587"/>
          <cell r="D587"/>
        </row>
        <row r="588">
          <cell r="C588"/>
          <cell r="D588"/>
        </row>
        <row r="589">
          <cell r="C589"/>
          <cell r="D589"/>
        </row>
        <row r="590">
          <cell r="C590"/>
          <cell r="D590"/>
        </row>
        <row r="591">
          <cell r="C591"/>
          <cell r="D591"/>
        </row>
        <row r="592">
          <cell r="C592"/>
          <cell r="D592"/>
        </row>
        <row r="593">
          <cell r="C593"/>
          <cell r="D593"/>
        </row>
        <row r="594">
          <cell r="C594"/>
          <cell r="D594"/>
        </row>
        <row r="595">
          <cell r="C595"/>
          <cell r="D595"/>
        </row>
        <row r="596">
          <cell r="C596"/>
          <cell r="D596"/>
        </row>
        <row r="597">
          <cell r="C597"/>
          <cell r="D597"/>
        </row>
        <row r="598">
          <cell r="C598"/>
          <cell r="D598"/>
        </row>
        <row r="599">
          <cell r="C599"/>
          <cell r="D599"/>
        </row>
        <row r="600">
          <cell r="C600"/>
          <cell r="D600"/>
        </row>
        <row r="601">
          <cell r="C601"/>
          <cell r="D601"/>
        </row>
        <row r="602">
          <cell r="C602"/>
          <cell r="D602"/>
        </row>
        <row r="603">
          <cell r="C603"/>
          <cell r="D603"/>
        </row>
        <row r="604">
          <cell r="C604"/>
          <cell r="D604"/>
        </row>
        <row r="605">
          <cell r="C605"/>
          <cell r="D605"/>
        </row>
        <row r="606">
          <cell r="C606"/>
          <cell r="D606"/>
        </row>
        <row r="607">
          <cell r="C607"/>
          <cell r="D607"/>
        </row>
        <row r="608">
          <cell r="C608"/>
          <cell r="D608"/>
        </row>
        <row r="609">
          <cell r="C609"/>
          <cell r="D609"/>
        </row>
        <row r="610">
          <cell r="C610"/>
          <cell r="D610"/>
        </row>
        <row r="611">
          <cell r="C611"/>
          <cell r="D611"/>
        </row>
        <row r="612">
          <cell r="C612"/>
          <cell r="D612"/>
        </row>
        <row r="613">
          <cell r="C613"/>
          <cell r="D613"/>
        </row>
        <row r="614">
          <cell r="C614"/>
          <cell r="D614"/>
        </row>
        <row r="615">
          <cell r="C615"/>
          <cell r="D615"/>
        </row>
        <row r="616">
          <cell r="C616"/>
          <cell r="D616"/>
        </row>
        <row r="617">
          <cell r="C617"/>
          <cell r="D617"/>
        </row>
        <row r="618">
          <cell r="C618"/>
          <cell r="D618"/>
        </row>
        <row r="619">
          <cell r="C619"/>
          <cell r="D619"/>
        </row>
        <row r="620">
          <cell r="C620"/>
          <cell r="D620"/>
        </row>
        <row r="621">
          <cell r="C621"/>
          <cell r="D621"/>
        </row>
        <row r="622">
          <cell r="C622"/>
          <cell r="D622"/>
        </row>
        <row r="623">
          <cell r="C623"/>
          <cell r="D623"/>
        </row>
        <row r="624">
          <cell r="C624"/>
          <cell r="D624"/>
        </row>
        <row r="625">
          <cell r="C625"/>
          <cell r="D625"/>
        </row>
        <row r="626">
          <cell r="C626"/>
          <cell r="D626"/>
        </row>
        <row r="627">
          <cell r="C627"/>
          <cell r="D627"/>
        </row>
        <row r="628">
          <cell r="C628"/>
          <cell r="D628"/>
        </row>
        <row r="629">
          <cell r="C629"/>
          <cell r="D629"/>
        </row>
        <row r="630">
          <cell r="C630"/>
          <cell r="D630"/>
        </row>
        <row r="631">
          <cell r="C631"/>
          <cell r="D631"/>
        </row>
        <row r="632">
          <cell r="C632"/>
          <cell r="D632"/>
        </row>
        <row r="633">
          <cell r="C633"/>
          <cell r="D633"/>
        </row>
        <row r="634">
          <cell r="C634"/>
          <cell r="D634"/>
        </row>
        <row r="635">
          <cell r="C635"/>
          <cell r="D635"/>
        </row>
        <row r="636">
          <cell r="C636"/>
          <cell r="D636"/>
        </row>
        <row r="637">
          <cell r="C637"/>
          <cell r="D637"/>
        </row>
        <row r="638">
          <cell r="C638"/>
          <cell r="D638"/>
        </row>
        <row r="639">
          <cell r="C639"/>
          <cell r="D639"/>
        </row>
        <row r="640">
          <cell r="C640"/>
          <cell r="D640"/>
        </row>
        <row r="641">
          <cell r="C641"/>
          <cell r="D641"/>
        </row>
        <row r="642">
          <cell r="C642"/>
          <cell r="D642"/>
        </row>
        <row r="643">
          <cell r="C643"/>
          <cell r="D643"/>
        </row>
        <row r="644">
          <cell r="C644"/>
          <cell r="D644"/>
        </row>
        <row r="645">
          <cell r="C645"/>
          <cell r="D645"/>
        </row>
        <row r="646">
          <cell r="C646"/>
          <cell r="D646"/>
        </row>
        <row r="647">
          <cell r="C647"/>
          <cell r="D647"/>
        </row>
        <row r="648">
          <cell r="C648"/>
          <cell r="D648"/>
        </row>
        <row r="649">
          <cell r="C649"/>
          <cell r="D649"/>
        </row>
        <row r="650">
          <cell r="C650"/>
          <cell r="D650"/>
        </row>
        <row r="651">
          <cell r="C651"/>
          <cell r="D651"/>
        </row>
        <row r="652">
          <cell r="C652"/>
          <cell r="D652"/>
        </row>
        <row r="653">
          <cell r="C653"/>
          <cell r="D653"/>
        </row>
        <row r="654">
          <cell r="C654"/>
          <cell r="D654"/>
        </row>
        <row r="655">
          <cell r="C655"/>
          <cell r="D655"/>
        </row>
        <row r="656">
          <cell r="C656"/>
          <cell r="D656"/>
        </row>
        <row r="657">
          <cell r="C657"/>
          <cell r="D657"/>
        </row>
        <row r="658">
          <cell r="C658"/>
          <cell r="D658"/>
        </row>
        <row r="659">
          <cell r="C659"/>
          <cell r="D659"/>
        </row>
        <row r="660">
          <cell r="C660"/>
          <cell r="D660"/>
        </row>
        <row r="661">
          <cell r="C661"/>
          <cell r="D661"/>
        </row>
        <row r="662">
          <cell r="C662"/>
          <cell r="D662"/>
        </row>
        <row r="663">
          <cell r="C663"/>
          <cell r="D663"/>
        </row>
        <row r="664">
          <cell r="C664"/>
          <cell r="D664"/>
        </row>
        <row r="665">
          <cell r="C665"/>
          <cell r="D665"/>
        </row>
        <row r="666">
          <cell r="C666"/>
          <cell r="D666"/>
        </row>
        <row r="667">
          <cell r="C667"/>
          <cell r="D667"/>
        </row>
        <row r="668">
          <cell r="C668"/>
          <cell r="D668"/>
        </row>
        <row r="669">
          <cell r="C669"/>
          <cell r="D669"/>
        </row>
        <row r="670">
          <cell r="C670"/>
          <cell r="D670"/>
        </row>
        <row r="671">
          <cell r="C671"/>
          <cell r="D671"/>
        </row>
        <row r="672">
          <cell r="C672"/>
          <cell r="D672"/>
        </row>
        <row r="673">
          <cell r="C673"/>
          <cell r="D673"/>
        </row>
        <row r="674">
          <cell r="C674"/>
          <cell r="D674"/>
        </row>
        <row r="675">
          <cell r="C675"/>
          <cell r="D675"/>
        </row>
        <row r="676">
          <cell r="C676"/>
          <cell r="D676"/>
        </row>
        <row r="677">
          <cell r="C677"/>
          <cell r="D677"/>
        </row>
        <row r="678">
          <cell r="C678"/>
          <cell r="D678"/>
        </row>
        <row r="679">
          <cell r="C679"/>
          <cell r="D679"/>
        </row>
        <row r="680">
          <cell r="C680"/>
          <cell r="D680"/>
        </row>
        <row r="681">
          <cell r="C681"/>
          <cell r="D681"/>
        </row>
        <row r="682">
          <cell r="C682"/>
          <cell r="D682"/>
        </row>
        <row r="683">
          <cell r="C683"/>
          <cell r="D683"/>
        </row>
        <row r="684">
          <cell r="C684"/>
          <cell r="D684"/>
        </row>
        <row r="685">
          <cell r="C685"/>
          <cell r="D685"/>
        </row>
        <row r="686">
          <cell r="C686"/>
          <cell r="D686"/>
        </row>
        <row r="687">
          <cell r="C687"/>
          <cell r="D687"/>
        </row>
        <row r="688">
          <cell r="C688"/>
          <cell r="D688"/>
        </row>
        <row r="689">
          <cell r="C689"/>
          <cell r="D689"/>
        </row>
        <row r="690">
          <cell r="C690"/>
          <cell r="D690"/>
        </row>
        <row r="691">
          <cell r="C691"/>
          <cell r="D691"/>
        </row>
      </sheetData>
      <sheetData sheetId="13"/>
      <sheetData sheetId="14">
        <row r="29">
          <cell r="D29">
            <v>83</v>
          </cell>
        </row>
      </sheetData>
      <sheetData sheetId="15"/>
      <sheetData sheetId="16"/>
      <sheetData sheetId="17"/>
      <sheetData sheetId="18"/>
      <sheetData sheetId="19">
        <row r="29">
          <cell r="D29">
            <v>3</v>
          </cell>
        </row>
      </sheetData>
      <sheetData sheetId="20">
        <row r="29">
          <cell r="D29">
            <v>24852.534794331292</v>
          </cell>
        </row>
      </sheetData>
      <sheetData sheetId="21"/>
      <sheetData sheetId="22">
        <row r="29">
          <cell r="D29" t="str">
            <v>1,1</v>
          </cell>
        </row>
      </sheetData>
      <sheetData sheetId="23"/>
      <sheetData sheetId="24">
        <row r="29">
          <cell r="D29">
            <v>452588.19495913957</v>
          </cell>
        </row>
      </sheetData>
      <sheetData sheetId="25"/>
      <sheetData sheetId="26"/>
      <sheetData sheetId="27"/>
      <sheetData sheetId="28"/>
      <sheetData sheetId="29">
        <row r="11">
          <cell r="C11">
            <v>2</v>
          </cell>
        </row>
      </sheetData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Settings"/>
      <sheetName val="Parameters"/>
      <sheetName val="Simulation Output"/>
      <sheetName val="Simulation Statistics"/>
      <sheetName val="Calibration"/>
      <sheetName val="Sampled Parameters"/>
      <sheetName val="Experimental Designs"/>
      <sheetName val="Settings"/>
      <sheetName val="MenSupport"/>
      <sheetName val="Population Info"/>
      <sheetName val="Event Setup"/>
      <sheetName val="Connection &amp; Special Stat Setup"/>
      <sheetName val="Pathogens"/>
      <sheetName val="Classes"/>
      <sheetName val="Interventions"/>
      <sheetName val="Events"/>
      <sheetName val="Resources"/>
      <sheetName val="Connections"/>
      <sheetName val="Special Statistics"/>
      <sheetName val="Base Contact Matrices"/>
      <sheetName val="Additive Contact Matrices"/>
      <sheetName val="Epidemic History"/>
      <sheetName val="Epidemic History (2)"/>
      <sheetName val="Q-Functions"/>
      <sheetName val="Dynamic Policy"/>
      <sheetName val="ADP Iterations"/>
      <sheetName val="Dynamic Policy Optimizaion"/>
      <sheetName val="Static Policy Optimization"/>
      <sheetName val="Computation Time"/>
      <sheetName val="Static Policy Designs"/>
      <sheetName val="Population Strcuture"/>
      <sheetName val="Contacts"/>
      <sheetName val="Simulating Decision Making"/>
      <sheetName val="Sup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0">
          <cell r="D30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Structure"/>
      <sheetName val="parms"/>
      <sheetName val="parms52"/>
      <sheetName val="parms12"/>
      <sheetName val="HIV parameters"/>
      <sheetName val="Parameters 1 (Transitions)"/>
      <sheetName val="Sheet4"/>
      <sheetName val="Parameters 1 (Transitions)  (5)"/>
      <sheetName val="Parameters 1 (Transitions)  (4)"/>
      <sheetName val="Parameters 1 (Transitions)  (3)"/>
      <sheetName val="Parameters 1 (HIV detailed)"/>
      <sheetName val="time-varying"/>
      <sheetName val="Sheet3"/>
      <sheetName val="Parameters 1 (Transitions) (2)"/>
      <sheetName val="Sheet1"/>
      <sheetName val="TB_outcomes_2021-08-30"/>
      <sheetName val="Parameters 2 (HIV-ART) (linear)"/>
      <sheetName val="Parameters 2 (HIV-ART) (logist)"/>
      <sheetName val="artinit_tb"/>
      <sheetName val="Parameter sheet example"/>
      <sheetName val="Children"/>
      <sheetName val="questions Marijn"/>
      <sheetName val="Thembisa outputs"/>
      <sheetName val="Parameters 2 (Transmission)"/>
      <sheetName val="HIV prev and ART from Themb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4">
          <cell r="N104">
            <v>0.85511142010614538</v>
          </cell>
        </row>
        <row r="105">
          <cell r="N105">
            <v>0.86787730496785065</v>
          </cell>
        </row>
        <row r="106">
          <cell r="N106">
            <v>2.1963420516724487E-2</v>
          </cell>
        </row>
        <row r="107">
          <cell r="N107">
            <v>4.7296598512375131E-2</v>
          </cell>
        </row>
        <row r="108">
          <cell r="N108">
            <v>0.1043717397583984</v>
          </cell>
        </row>
        <row r="109">
          <cell r="N109">
            <v>8.0196614367200644E-2</v>
          </cell>
        </row>
        <row r="110">
          <cell r="N110">
            <v>0.11243581460487742</v>
          </cell>
        </row>
        <row r="111">
          <cell r="N111">
            <v>0.14589229144667371</v>
          </cell>
        </row>
        <row r="112">
          <cell r="N112">
            <v>0.17751148756351465</v>
          </cell>
        </row>
        <row r="113">
          <cell r="N113">
            <v>0.23298639111640934</v>
          </cell>
        </row>
        <row r="114">
          <cell r="N114">
            <v>0.35780696331784206</v>
          </cell>
        </row>
        <row r="115">
          <cell r="N115">
            <v>0.57725784008766323</v>
          </cell>
        </row>
        <row r="116">
          <cell r="N116">
            <v>0.66232322514492248</v>
          </cell>
        </row>
      </sheetData>
      <sheetData sheetId="19"/>
      <sheetData sheetId="20"/>
      <sheetData sheetId="21"/>
      <sheetData sheetId="22">
        <row r="3">
          <cell r="R3">
            <v>2000</v>
          </cell>
        </row>
      </sheetData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07F2-1320-EA4B-AE47-D4720A66E8A6}">
  <dimension ref="A1:F43"/>
  <sheetViews>
    <sheetView topLeftCell="A15" zoomScale="75" workbookViewId="0">
      <selection activeCell="F11" sqref="F11"/>
    </sheetView>
  </sheetViews>
  <sheetFormatPr baseColWidth="10" defaultRowHeight="16" x14ac:dyDescent="0.2"/>
  <cols>
    <col min="1" max="4" width="10.83203125" style="16"/>
    <col min="5" max="5" width="12.83203125" style="16" customWidth="1"/>
    <col min="6" max="6" width="29.5" customWidth="1"/>
  </cols>
  <sheetData>
    <row r="1" spans="1:5" x14ac:dyDescent="0.2">
      <c r="A1" s="17" t="s">
        <v>0</v>
      </c>
      <c r="B1" s="17" t="s">
        <v>1</v>
      </c>
      <c r="C1" s="18" t="s">
        <v>2</v>
      </c>
      <c r="D1" s="19" t="s">
        <v>3</v>
      </c>
      <c r="E1" s="19" t="s">
        <v>4</v>
      </c>
    </row>
    <row r="2" spans="1:5" x14ac:dyDescent="0.2">
      <c r="A2" s="20">
        <f>B2-1995</f>
        <v>0</v>
      </c>
      <c r="B2" s="15">
        <v>1995</v>
      </c>
      <c r="C2" s="21">
        <v>0</v>
      </c>
      <c r="D2" s="22">
        <v>3.8218613785505583E-2</v>
      </c>
      <c r="E2" s="22">
        <v>9.1400000000000006E-3</v>
      </c>
    </row>
    <row r="3" spans="1:5" ht="16" customHeight="1" x14ac:dyDescent="0.2">
      <c r="A3" s="20">
        <f t="shared" ref="A3:A43" si="0">B3-1995</f>
        <v>1</v>
      </c>
      <c r="B3" s="15">
        <v>1996</v>
      </c>
      <c r="C3" s="21">
        <v>0</v>
      </c>
      <c r="D3" s="22">
        <v>4.6487183200579291E-2</v>
      </c>
      <c r="E3" s="22">
        <v>1.0369999999999999E-2</v>
      </c>
    </row>
    <row r="4" spans="1:5" x14ac:dyDescent="0.2">
      <c r="A4" s="20">
        <f t="shared" si="0"/>
        <v>2</v>
      </c>
      <c r="B4" s="15">
        <v>1997</v>
      </c>
      <c r="C4" s="21">
        <v>0</v>
      </c>
      <c r="D4" s="22">
        <v>5.5401672024694273E-2</v>
      </c>
      <c r="E4" s="22">
        <v>1.14E-2</v>
      </c>
    </row>
    <row r="5" spans="1:5" x14ac:dyDescent="0.2">
      <c r="A5" s="20">
        <f t="shared" si="0"/>
        <v>3</v>
      </c>
      <c r="B5" s="15">
        <v>1998</v>
      </c>
      <c r="C5" s="21">
        <v>0</v>
      </c>
      <c r="D5" s="22">
        <v>6.284542634117439E-2</v>
      </c>
      <c r="E5" s="22">
        <v>1.2150000000000001E-2</v>
      </c>
    </row>
    <row r="6" spans="1:5" x14ac:dyDescent="0.2">
      <c r="A6" s="20">
        <f t="shared" si="0"/>
        <v>4</v>
      </c>
      <c r="B6" s="15">
        <v>1999</v>
      </c>
      <c r="C6" s="21">
        <v>0</v>
      </c>
      <c r="D6" s="22">
        <v>6.8704814813331364E-2</v>
      </c>
      <c r="E6" s="22">
        <v>1.2630000000000001E-2</v>
      </c>
    </row>
    <row r="7" spans="1:5" x14ac:dyDescent="0.2">
      <c r="A7" s="20">
        <f t="shared" si="0"/>
        <v>5</v>
      </c>
      <c r="B7" s="15">
        <v>2000</v>
      </c>
      <c r="C7" s="21">
        <v>0</v>
      </c>
      <c r="D7" s="22">
        <v>7.4290660631044197E-2</v>
      </c>
      <c r="E7" s="22">
        <v>1.278E-2</v>
      </c>
    </row>
    <row r="8" spans="1:5" x14ac:dyDescent="0.2">
      <c r="A8" s="20">
        <f t="shared" si="0"/>
        <v>6</v>
      </c>
      <c r="B8" s="15">
        <v>2001</v>
      </c>
      <c r="C8" s="21">
        <v>0</v>
      </c>
      <c r="D8" s="22">
        <v>7.7715825243210121E-2</v>
      </c>
      <c r="E8" s="22">
        <v>1.2710000000000001E-2</v>
      </c>
    </row>
    <row r="9" spans="1:5" x14ac:dyDescent="0.2">
      <c r="A9" s="20">
        <f t="shared" si="0"/>
        <v>7</v>
      </c>
      <c r="B9" s="15">
        <v>2002</v>
      </c>
      <c r="C9" s="21">
        <v>0</v>
      </c>
      <c r="D9" s="22">
        <v>7.9178737278525937E-2</v>
      </c>
      <c r="E9" s="22">
        <v>1.2489999999999999E-2</v>
      </c>
    </row>
    <row r="10" spans="1:5" x14ac:dyDescent="0.2">
      <c r="A10" s="20">
        <f t="shared" si="0"/>
        <v>8</v>
      </c>
      <c r="B10" s="15">
        <v>2003</v>
      </c>
      <c r="C10" s="21">
        <v>0</v>
      </c>
      <c r="D10" s="22">
        <v>7.7052226724620046E-2</v>
      </c>
      <c r="E10" s="22">
        <v>1.2199999999999999E-2</v>
      </c>
    </row>
    <row r="11" spans="1:5" x14ac:dyDescent="0.2">
      <c r="A11" s="20">
        <f t="shared" si="0"/>
        <v>9</v>
      </c>
      <c r="B11" s="15">
        <v>2004</v>
      </c>
      <c r="C11" s="21">
        <f>[3]artinit_tb!N104</f>
        <v>0.85511142010614538</v>
      </c>
      <c r="D11" s="22">
        <v>7.2828516589984474E-2</v>
      </c>
      <c r="E11" s="22">
        <v>1.2070000000000001E-2</v>
      </c>
    </row>
    <row r="12" spans="1:5" x14ac:dyDescent="0.2">
      <c r="A12" s="20">
        <f t="shared" si="0"/>
        <v>10</v>
      </c>
      <c r="B12" s="15">
        <v>2005</v>
      </c>
      <c r="C12" s="21">
        <f>[3]artinit_tb!N105</f>
        <v>0.86787730496785065</v>
      </c>
      <c r="D12" s="22">
        <v>6.8174124635451139E-2</v>
      </c>
      <c r="E12" s="22">
        <v>1.1810000000000001E-2</v>
      </c>
    </row>
    <row r="13" spans="1:5" x14ac:dyDescent="0.2">
      <c r="A13" s="20">
        <f t="shared" si="0"/>
        <v>11</v>
      </c>
      <c r="B13" s="15">
        <v>2006</v>
      </c>
      <c r="C13" s="21">
        <f>[3]artinit_tb!N106</f>
        <v>2.1963420516724487E-2</v>
      </c>
      <c r="D13" s="22">
        <v>6.1259179699438518E-2</v>
      </c>
      <c r="E13" s="22">
        <v>1.1470000000000001E-2</v>
      </c>
    </row>
    <row r="14" spans="1:5" x14ac:dyDescent="0.2">
      <c r="A14" s="20">
        <f t="shared" si="0"/>
        <v>12</v>
      </c>
      <c r="B14" s="15">
        <v>2007</v>
      </c>
      <c r="C14" s="21">
        <f>[3]artinit_tb!N107</f>
        <v>4.7296598512375131E-2</v>
      </c>
      <c r="D14" s="22">
        <v>5.2601010963489188E-2</v>
      </c>
      <c r="E14" s="23">
        <v>1.1140000000000001E-2</v>
      </c>
    </row>
    <row r="15" spans="1:5" x14ac:dyDescent="0.2">
      <c r="A15" s="20">
        <f t="shared" si="0"/>
        <v>13</v>
      </c>
      <c r="B15" s="15">
        <v>2008</v>
      </c>
      <c r="C15" s="21">
        <f>[3]artinit_tb!N108</f>
        <v>0.1043717397583984</v>
      </c>
      <c r="D15" s="22">
        <v>4.1926652452025585E-2</v>
      </c>
      <c r="E15" s="23">
        <v>1.0670000000000001E-2</v>
      </c>
    </row>
    <row r="16" spans="1:5" x14ac:dyDescent="0.2">
      <c r="A16" s="20">
        <f t="shared" si="0"/>
        <v>14</v>
      </c>
      <c r="B16" s="15">
        <v>2009</v>
      </c>
      <c r="C16" s="21">
        <f>[3]artinit_tb!N109</f>
        <v>8.0196614367200644E-2</v>
      </c>
      <c r="D16" s="22">
        <v>3.1861249620604437E-2</v>
      </c>
      <c r="E16" s="23">
        <v>1.017E-2</v>
      </c>
    </row>
    <row r="17" spans="1:6" x14ac:dyDescent="0.2">
      <c r="A17" s="20">
        <f t="shared" si="0"/>
        <v>15</v>
      </c>
      <c r="B17" s="15">
        <v>2010</v>
      </c>
      <c r="C17" s="21">
        <f>[3]artinit_tb!N110</f>
        <v>0.11243581460487742</v>
      </c>
      <c r="D17" s="22">
        <v>2.4626637403656726E-2</v>
      </c>
      <c r="E17" s="23">
        <v>9.5600000000000008E-3</v>
      </c>
    </row>
    <row r="18" spans="1:6" x14ac:dyDescent="0.2">
      <c r="A18" s="20">
        <f t="shared" si="0"/>
        <v>16</v>
      </c>
      <c r="B18" s="15">
        <v>2011</v>
      </c>
      <c r="C18" s="21">
        <f>[3]artinit_tb!N111</f>
        <v>0.14589229144667371</v>
      </c>
      <c r="D18" s="22">
        <v>2.0737061313669262E-2</v>
      </c>
      <c r="E18" s="23">
        <v>8.9800000000000001E-3</v>
      </c>
    </row>
    <row r="19" spans="1:6" x14ac:dyDescent="0.2">
      <c r="A19" s="20">
        <f t="shared" si="0"/>
        <v>17</v>
      </c>
      <c r="B19" s="15">
        <v>2012</v>
      </c>
      <c r="C19" s="21">
        <f>[3]artinit_tb!N112</f>
        <v>0.17751148756351465</v>
      </c>
      <c r="D19" s="22">
        <v>1.8892433987813134E-2</v>
      </c>
      <c r="E19" s="23">
        <v>8.4700000000000001E-3</v>
      </c>
    </row>
    <row r="20" spans="1:6" x14ac:dyDescent="0.2">
      <c r="A20" s="20">
        <f t="shared" si="0"/>
        <v>18</v>
      </c>
      <c r="B20" s="15">
        <v>2013</v>
      </c>
      <c r="C20" s="21">
        <f>[3]artinit_tb!N113</f>
        <v>0.23298639111640934</v>
      </c>
      <c r="D20" s="22">
        <v>1.7701036221453404E-2</v>
      </c>
      <c r="E20" s="23">
        <v>7.7499999999999999E-3</v>
      </c>
    </row>
    <row r="21" spans="1:6" x14ac:dyDescent="0.2">
      <c r="A21" s="20">
        <f t="shared" si="0"/>
        <v>19</v>
      </c>
      <c r="B21" s="15">
        <v>2014</v>
      </c>
      <c r="C21" s="21">
        <f>[3]artinit_tb!N114</f>
        <v>0.35780696331784206</v>
      </c>
      <c r="D21" s="22">
        <v>1.5263157894736841E-2</v>
      </c>
      <c r="E21" s="23">
        <v>7.2300000000000003E-3</v>
      </c>
    </row>
    <row r="22" spans="1:6" x14ac:dyDescent="0.2">
      <c r="A22" s="20">
        <f t="shared" si="0"/>
        <v>20</v>
      </c>
      <c r="B22" s="15">
        <v>2015</v>
      </c>
      <c r="C22" s="21">
        <f>[3]artinit_tb!N115</f>
        <v>0.57725784008766323</v>
      </c>
      <c r="D22" s="22">
        <v>1.3454678139266501E-2</v>
      </c>
      <c r="E22" s="23">
        <v>6.6500000000000005E-3</v>
      </c>
    </row>
    <row r="23" spans="1:6" x14ac:dyDescent="0.2">
      <c r="A23" s="20">
        <f t="shared" si="0"/>
        <v>21</v>
      </c>
      <c r="B23" s="15">
        <v>2016</v>
      </c>
      <c r="C23" s="21">
        <f>[3]artinit_tb!N116</f>
        <v>0.66232322514492248</v>
      </c>
      <c r="D23" s="22">
        <v>1.2018378218149798E-2</v>
      </c>
      <c r="E23" s="23">
        <v>6.2699999999999995E-3</v>
      </c>
    </row>
    <row r="24" spans="1:6" x14ac:dyDescent="0.2">
      <c r="A24" s="20">
        <f t="shared" si="0"/>
        <v>22</v>
      </c>
      <c r="B24" s="15">
        <v>2017</v>
      </c>
      <c r="C24" s="21">
        <f t="shared" ref="C24:C43" ca="1" si="1">C$25</f>
        <v>0.85214615714322395</v>
      </c>
      <c r="D24" s="22">
        <v>1.079430530102491E-2</v>
      </c>
      <c r="E24" s="23">
        <v>5.9100000000000003E-3</v>
      </c>
    </row>
    <row r="25" spans="1:6" x14ac:dyDescent="0.2">
      <c r="A25" s="20">
        <f t="shared" si="0"/>
        <v>23</v>
      </c>
      <c r="B25" s="15">
        <v>2018</v>
      </c>
      <c r="C25" s="21">
        <f t="shared" ca="1" si="1"/>
        <v>0.85214615714322395</v>
      </c>
      <c r="D25" s="22">
        <v>1.0200972032742155E-2</v>
      </c>
      <c r="E25" s="23">
        <v>5.3699999999999998E-3</v>
      </c>
    </row>
    <row r="26" spans="1:6" x14ac:dyDescent="0.2">
      <c r="A26" s="20">
        <f t="shared" si="0"/>
        <v>24</v>
      </c>
      <c r="B26" s="15">
        <v>2019</v>
      </c>
      <c r="C26" s="21">
        <f t="shared" ca="1" si="1"/>
        <v>0.85214615714322395</v>
      </c>
      <c r="D26" s="22">
        <v>9.6334347285891783E-3</v>
      </c>
      <c r="E26" s="23">
        <v>4.96E-3</v>
      </c>
    </row>
    <row r="27" spans="1:6" x14ac:dyDescent="0.2">
      <c r="A27" s="20">
        <f t="shared" si="0"/>
        <v>25</v>
      </c>
      <c r="B27" s="15">
        <v>2020</v>
      </c>
      <c r="C27" s="21">
        <f t="shared" ca="1" si="1"/>
        <v>0.85214615714322395</v>
      </c>
      <c r="D27" s="22">
        <v>9.0554001119194181E-3</v>
      </c>
      <c r="E27" s="23">
        <v>0</v>
      </c>
    </row>
    <row r="28" spans="1:6" x14ac:dyDescent="0.2">
      <c r="A28" s="20">
        <f t="shared" si="0"/>
        <v>26</v>
      </c>
      <c r="B28" s="15">
        <v>2021</v>
      </c>
      <c r="C28" s="21">
        <f t="shared" ca="1" si="1"/>
        <v>0.85214615714322395</v>
      </c>
      <c r="D28" s="22">
        <v>8.5373206610569637E-3</v>
      </c>
      <c r="E28" s="23">
        <v>0</v>
      </c>
      <c r="F28" s="1"/>
    </row>
    <row r="29" spans="1:6" x14ac:dyDescent="0.2">
      <c r="A29" s="20">
        <f t="shared" si="0"/>
        <v>27</v>
      </c>
      <c r="B29" s="15">
        <v>2022</v>
      </c>
      <c r="C29" s="21">
        <f t="shared" ca="1" si="1"/>
        <v>0.85214615714322395</v>
      </c>
      <c r="D29" s="22">
        <v>8.1083402075283282E-3</v>
      </c>
      <c r="E29" s="23">
        <v>0</v>
      </c>
    </row>
    <row r="30" spans="1:6" x14ac:dyDescent="0.2">
      <c r="A30" s="20">
        <f t="shared" si="0"/>
        <v>28</v>
      </c>
      <c r="B30" s="15">
        <v>2023</v>
      </c>
      <c r="C30" s="21">
        <f t="shared" ca="1" si="1"/>
        <v>0.85214615714322395</v>
      </c>
      <c r="D30" s="22">
        <v>7.7334129211035392E-3</v>
      </c>
      <c r="E30" s="23">
        <v>0</v>
      </c>
    </row>
    <row r="31" spans="1:6" x14ac:dyDescent="0.2">
      <c r="A31" s="20">
        <f t="shared" si="0"/>
        <v>29</v>
      </c>
      <c r="B31" s="15">
        <v>2024</v>
      </c>
      <c r="C31" s="21">
        <f t="shared" ca="1" si="1"/>
        <v>0.85214615714322395</v>
      </c>
      <c r="D31" s="22">
        <v>7.3978461726733153E-3</v>
      </c>
      <c r="E31" s="23">
        <v>0</v>
      </c>
    </row>
    <row r="32" spans="1:6" x14ac:dyDescent="0.2">
      <c r="A32" s="20">
        <f t="shared" si="0"/>
        <v>30</v>
      </c>
      <c r="B32" s="15">
        <v>2025</v>
      </c>
      <c r="C32" s="21">
        <f t="shared" ca="1" si="1"/>
        <v>0.85214615714322395</v>
      </c>
      <c r="D32" s="22">
        <v>7.0883146934053219E-3</v>
      </c>
      <c r="E32" s="23">
        <v>0</v>
      </c>
    </row>
    <row r="33" spans="1:5" x14ac:dyDescent="0.2">
      <c r="A33" s="20">
        <f t="shared" si="0"/>
        <v>31</v>
      </c>
      <c r="B33" s="15">
        <v>2026</v>
      </c>
      <c r="C33" s="21">
        <f t="shared" ca="1" si="1"/>
        <v>0.85214615714322395</v>
      </c>
      <c r="D33" s="22">
        <v>6.793524756475682E-3</v>
      </c>
      <c r="E33" s="23">
        <v>0</v>
      </c>
    </row>
    <row r="34" spans="1:5" x14ac:dyDescent="0.2">
      <c r="A34" s="20">
        <f t="shared" si="0"/>
        <v>32</v>
      </c>
      <c r="B34" s="15">
        <v>2027</v>
      </c>
      <c r="C34" s="21">
        <f t="shared" ca="1" si="1"/>
        <v>0.85214615714322395</v>
      </c>
      <c r="D34" s="22">
        <v>6.5057837281515818E-3</v>
      </c>
      <c r="E34" s="23">
        <v>0</v>
      </c>
    </row>
    <row r="35" spans="1:5" x14ac:dyDescent="0.2">
      <c r="A35" s="20">
        <f t="shared" si="0"/>
        <v>33</v>
      </c>
      <c r="B35" s="15">
        <v>2028</v>
      </c>
      <c r="C35" s="21">
        <f t="shared" ca="1" si="1"/>
        <v>0.85214615714322395</v>
      </c>
      <c r="D35" s="22">
        <v>6.2221253818591582E-3</v>
      </c>
      <c r="E35" s="23">
        <v>0</v>
      </c>
    </row>
    <row r="36" spans="1:5" x14ac:dyDescent="0.2">
      <c r="A36" s="20">
        <f t="shared" si="0"/>
        <v>34</v>
      </c>
      <c r="B36" s="15">
        <v>2029</v>
      </c>
      <c r="C36" s="21">
        <f t="shared" ca="1" si="1"/>
        <v>0.85214615714322395</v>
      </c>
      <c r="D36" s="22">
        <v>5.9425180071500279E-3</v>
      </c>
      <c r="E36" s="22">
        <v>0</v>
      </c>
    </row>
    <row r="37" spans="1:5" x14ac:dyDescent="0.2">
      <c r="A37" s="20">
        <f t="shared" si="0"/>
        <v>35</v>
      </c>
      <c r="B37" s="15">
        <v>2030</v>
      </c>
      <c r="C37" s="21">
        <f t="shared" ca="1" si="1"/>
        <v>0.85214615714322395</v>
      </c>
      <c r="D37" s="22">
        <v>5.6676495700164597E-3</v>
      </c>
      <c r="E37" s="22">
        <v>0</v>
      </c>
    </row>
    <row r="38" spans="1:5" x14ac:dyDescent="0.2">
      <c r="A38" s="20">
        <f t="shared" si="0"/>
        <v>36</v>
      </c>
      <c r="B38" s="15">
        <v>2031</v>
      </c>
      <c r="C38" s="21">
        <f t="shared" ca="1" si="1"/>
        <v>0.85214615714322395</v>
      </c>
      <c r="D38" s="22"/>
      <c r="E38" s="22"/>
    </row>
    <row r="39" spans="1:5" x14ac:dyDescent="0.2">
      <c r="A39" s="20">
        <f t="shared" si="0"/>
        <v>37</v>
      </c>
      <c r="B39" s="15">
        <v>2032</v>
      </c>
      <c r="C39" s="21">
        <f t="shared" ca="1" si="1"/>
        <v>0.85214615714322395</v>
      </c>
      <c r="D39" s="22"/>
      <c r="E39" s="22"/>
    </row>
    <row r="40" spans="1:5" x14ac:dyDescent="0.2">
      <c r="A40" s="20">
        <f t="shared" si="0"/>
        <v>38</v>
      </c>
      <c r="B40" s="15">
        <v>2033</v>
      </c>
      <c r="C40" s="21">
        <f t="shared" ca="1" si="1"/>
        <v>0.85214615714322395</v>
      </c>
      <c r="D40" s="22"/>
      <c r="E40" s="22"/>
    </row>
    <row r="41" spans="1:5" x14ac:dyDescent="0.2">
      <c r="A41" s="20">
        <f t="shared" si="0"/>
        <v>39</v>
      </c>
      <c r="B41" s="15">
        <v>2034</v>
      </c>
      <c r="C41" s="21">
        <f t="shared" ca="1" si="1"/>
        <v>0.85214615714322395</v>
      </c>
      <c r="D41" s="22"/>
      <c r="E41" s="22"/>
    </row>
    <row r="42" spans="1:5" x14ac:dyDescent="0.2">
      <c r="A42" s="20">
        <f t="shared" si="0"/>
        <v>40</v>
      </c>
      <c r="B42" s="15">
        <v>2035</v>
      </c>
      <c r="C42" s="21">
        <f t="shared" ca="1" si="1"/>
        <v>0.85214615714322395</v>
      </c>
      <c r="D42" s="22"/>
      <c r="E42" s="22"/>
    </row>
    <row r="43" spans="1:5" x14ac:dyDescent="0.2">
      <c r="A43" s="20">
        <f t="shared" si="0"/>
        <v>41</v>
      </c>
      <c r="B43" s="15">
        <v>2036</v>
      </c>
      <c r="C43" s="21">
        <f t="shared" ca="1" si="1"/>
        <v>0.85214615714322395</v>
      </c>
      <c r="D43" s="22"/>
      <c r="E43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05CC-03A4-5A47-BEF9-B9D4A795B9CF}">
  <dimension ref="A1:D128"/>
  <sheetViews>
    <sheetView tabSelected="1" topLeftCell="A96" zoomScale="75" zoomScaleNormal="75" workbookViewId="0">
      <selection activeCell="F30" sqref="F30"/>
    </sheetView>
  </sheetViews>
  <sheetFormatPr baseColWidth="10" defaultRowHeight="16" x14ac:dyDescent="0.2"/>
  <cols>
    <col min="1" max="1" width="20.83203125" style="15" customWidth="1"/>
    <col min="2" max="4" width="11.83203125" style="15" bestFit="1" customWidth="1"/>
  </cols>
  <sheetData>
    <row r="1" spans="1:4" ht="17" customHeight="1" x14ac:dyDescent="0.2">
      <c r="A1" s="2" t="s">
        <v>5</v>
      </c>
      <c r="B1" s="3" t="s">
        <v>6</v>
      </c>
      <c r="C1" s="3" t="s">
        <v>7</v>
      </c>
      <c r="D1" s="3" t="s">
        <v>8</v>
      </c>
    </row>
    <row r="2" spans="1:4" x14ac:dyDescent="0.2">
      <c r="A2" s="4" t="s">
        <v>9</v>
      </c>
      <c r="B2" s="4">
        <v>2.3E-2</v>
      </c>
      <c r="C2" s="5">
        <v>0.02</v>
      </c>
      <c r="D2" s="4">
        <v>2.5999999999999999E-2</v>
      </c>
    </row>
    <row r="3" spans="1:4" x14ac:dyDescent="0.2">
      <c r="A3" s="4" t="s">
        <v>10</v>
      </c>
      <c r="B3" s="6">
        <v>6.0000000000000001E-3</v>
      </c>
      <c r="C3" s="6">
        <v>4.5999999999999999E-3</v>
      </c>
      <c r="D3" s="6">
        <v>7.7000000000000002E-3</v>
      </c>
    </row>
    <row r="4" spans="1:4" x14ac:dyDescent="0.2">
      <c r="A4" s="4" t="s">
        <v>11</v>
      </c>
      <c r="B4" s="7">
        <v>11</v>
      </c>
      <c r="C4" s="4">
        <v>2</v>
      </c>
      <c r="D4" s="4">
        <v>18</v>
      </c>
    </row>
    <row r="5" spans="1:4" x14ac:dyDescent="0.2">
      <c r="A5" s="4" t="s">
        <v>12</v>
      </c>
      <c r="B5" s="5">
        <f>(C5+D5)/2</f>
        <v>0.63500000000000001</v>
      </c>
      <c r="C5" s="4">
        <v>0.27</v>
      </c>
      <c r="D5" s="4">
        <v>1</v>
      </c>
    </row>
    <row r="6" spans="1:4" x14ac:dyDescent="0.2">
      <c r="A6" s="4" t="s">
        <v>13</v>
      </c>
      <c r="B6" s="4">
        <v>0.95</v>
      </c>
      <c r="C6" s="4"/>
      <c r="D6" s="4"/>
    </row>
    <row r="7" spans="1:4" x14ac:dyDescent="0.2">
      <c r="A7" s="4" t="s">
        <v>14</v>
      </c>
      <c r="B7" s="4">
        <v>0.85</v>
      </c>
      <c r="C7" s="4"/>
      <c r="D7" s="4"/>
    </row>
    <row r="8" spans="1:4" x14ac:dyDescent="0.2">
      <c r="A8" s="4" t="s">
        <v>15</v>
      </c>
      <c r="B8" s="4">
        <v>0.65</v>
      </c>
      <c r="C8" s="4"/>
      <c r="D8" s="4"/>
    </row>
    <row r="9" spans="1:4" x14ac:dyDescent="0.2">
      <c r="A9" s="4" t="s">
        <v>16</v>
      </c>
      <c r="B9" s="4">
        <v>0.45</v>
      </c>
      <c r="C9" s="4"/>
      <c r="D9" s="4"/>
    </row>
    <row r="10" spans="1:4" x14ac:dyDescent="0.2">
      <c r="A10" s="4" t="s">
        <v>17</v>
      </c>
      <c r="B10" s="4">
        <v>0.06</v>
      </c>
      <c r="C10" s="4">
        <v>0.04</v>
      </c>
      <c r="D10" s="4">
        <v>0.12</v>
      </c>
    </row>
    <row r="11" spans="1:4" x14ac:dyDescent="0.2">
      <c r="A11" s="4" t="s">
        <v>18</v>
      </c>
      <c r="B11" s="4">
        <v>1E-3</v>
      </c>
      <c r="C11" s="4">
        <v>5.0000000000000001E-4</v>
      </c>
      <c r="D11" s="4">
        <v>2.5000000000000001E-3</v>
      </c>
    </row>
    <row r="12" spans="1:4" x14ac:dyDescent="0.2">
      <c r="A12" s="4" t="s">
        <v>116</v>
      </c>
      <c r="B12" s="4"/>
      <c r="C12" s="4">
        <v>2E-3</v>
      </c>
      <c r="D12" s="4">
        <v>3.0000000000000001E-3</v>
      </c>
    </row>
    <row r="13" spans="1:4" x14ac:dyDescent="0.2">
      <c r="A13" s="4" t="s">
        <v>122</v>
      </c>
      <c r="B13" s="4"/>
      <c r="C13" s="4">
        <v>3.0000000000000001E-3</v>
      </c>
      <c r="D13" s="4">
        <v>6.0000000000000001E-3</v>
      </c>
    </row>
    <row r="14" spans="1:4" x14ac:dyDescent="0.2">
      <c r="A14" s="4" t="s">
        <v>123</v>
      </c>
      <c r="B14" s="4"/>
      <c r="C14" s="4">
        <v>0.06</v>
      </c>
      <c r="D14" s="4">
        <v>0.16</v>
      </c>
    </row>
    <row r="15" spans="1:4" x14ac:dyDescent="0.2">
      <c r="A15" s="4" t="s">
        <v>124</v>
      </c>
      <c r="B15" s="4"/>
      <c r="C15" s="4">
        <v>0.16</v>
      </c>
      <c r="D15" s="4">
        <v>0.4</v>
      </c>
    </row>
    <row r="16" spans="1:4" x14ac:dyDescent="0.2">
      <c r="A16" s="4" t="s">
        <v>19</v>
      </c>
      <c r="B16" s="5">
        <v>0.5</v>
      </c>
      <c r="C16" s="8"/>
      <c r="D16" s="9"/>
    </row>
    <row r="17" spans="1:4" x14ac:dyDescent="0.2">
      <c r="A17" s="4" t="s">
        <v>20</v>
      </c>
      <c r="B17" s="5">
        <v>0.5</v>
      </c>
      <c r="C17" s="5">
        <v>0.2</v>
      </c>
      <c r="D17" s="5">
        <v>0.8</v>
      </c>
    </row>
    <row r="18" spans="1:4" x14ac:dyDescent="0.2">
      <c r="A18" s="4" t="s">
        <v>21</v>
      </c>
      <c r="B18" s="5">
        <v>0.75</v>
      </c>
      <c r="C18" s="5">
        <v>0.5</v>
      </c>
      <c r="D18" s="5">
        <v>1</v>
      </c>
    </row>
    <row r="19" spans="1:4" x14ac:dyDescent="0.2">
      <c r="A19" s="4" t="s">
        <v>22</v>
      </c>
      <c r="B19" s="5"/>
      <c r="C19" s="5">
        <v>0.1</v>
      </c>
      <c r="D19" s="5">
        <v>0.25</v>
      </c>
    </row>
    <row r="20" spans="1:4" x14ac:dyDescent="0.2">
      <c r="A20" s="4" t="s">
        <v>23</v>
      </c>
      <c r="B20" s="5">
        <v>0.5</v>
      </c>
      <c r="C20" s="5"/>
      <c r="D20" s="5"/>
    </row>
    <row r="21" spans="1:4" x14ac:dyDescent="0.2">
      <c r="A21" s="4" t="s">
        <v>24</v>
      </c>
      <c r="B21" s="5">
        <v>1E-3</v>
      </c>
      <c r="C21" s="6">
        <v>5.0000000000000001E-4</v>
      </c>
      <c r="D21" s="6">
        <v>5.0000000000000001E-3</v>
      </c>
    </row>
    <row r="22" spans="1:4" x14ac:dyDescent="0.2">
      <c r="A22" s="4" t="s">
        <v>125</v>
      </c>
      <c r="B22" s="5"/>
      <c r="C22" s="5">
        <v>2E-3</v>
      </c>
      <c r="D22" s="5">
        <v>3.0000000000000001E-3</v>
      </c>
    </row>
    <row r="23" spans="1:4" x14ac:dyDescent="0.2">
      <c r="A23" s="4" t="s">
        <v>126</v>
      </c>
      <c r="B23" s="5"/>
      <c r="C23" s="5">
        <v>3.0000000000000001E-3</v>
      </c>
      <c r="D23" s="5">
        <v>6.0000000000000001E-3</v>
      </c>
    </row>
    <row r="24" spans="1:4" x14ac:dyDescent="0.2">
      <c r="A24" s="4" t="s">
        <v>128</v>
      </c>
      <c r="B24" s="5"/>
      <c r="C24" s="5">
        <v>0.06</v>
      </c>
      <c r="D24" s="5">
        <v>0.16</v>
      </c>
    </row>
    <row r="25" spans="1:4" x14ac:dyDescent="0.2">
      <c r="A25" s="4" t="s">
        <v>127</v>
      </c>
      <c r="B25" s="5"/>
      <c r="C25" s="5">
        <v>0.16</v>
      </c>
      <c r="D25" s="5">
        <v>0.4</v>
      </c>
    </row>
    <row r="26" spans="1:4" x14ac:dyDescent="0.2">
      <c r="A26" s="4" t="s">
        <v>25</v>
      </c>
      <c r="B26" s="10">
        <v>1</v>
      </c>
      <c r="C26" s="10">
        <v>0.5</v>
      </c>
      <c r="D26" s="10">
        <v>1.2</v>
      </c>
    </row>
    <row r="27" spans="1:4" x14ac:dyDescent="0.2">
      <c r="A27" s="4" t="s">
        <v>26</v>
      </c>
      <c r="B27" s="4">
        <v>0.2</v>
      </c>
      <c r="C27" s="4">
        <v>0.2</v>
      </c>
      <c r="D27" s="4">
        <v>0.35</v>
      </c>
    </row>
    <row r="28" spans="1:4" x14ac:dyDescent="0.2">
      <c r="A28" s="4" t="s">
        <v>27</v>
      </c>
      <c r="B28" s="4">
        <v>0.1</v>
      </c>
      <c r="C28" s="4">
        <v>0.1</v>
      </c>
      <c r="D28" s="4">
        <v>0.25</v>
      </c>
    </row>
    <row r="29" spans="1:4" x14ac:dyDescent="0.2">
      <c r="A29" s="4" t="s">
        <v>28</v>
      </c>
      <c r="B29" s="4">
        <v>0.1</v>
      </c>
      <c r="C29" s="4">
        <v>0.1</v>
      </c>
      <c r="D29" s="4">
        <v>0.25</v>
      </c>
    </row>
    <row r="30" spans="1:4" x14ac:dyDescent="0.2">
      <c r="A30" s="4" t="s">
        <v>29</v>
      </c>
      <c r="B30" s="4">
        <v>0</v>
      </c>
      <c r="C30" s="4"/>
      <c r="D30" s="4"/>
    </row>
    <row r="31" spans="1:4" x14ac:dyDescent="0.2">
      <c r="A31" s="4" t="s">
        <v>30</v>
      </c>
      <c r="B31" s="4">
        <v>0</v>
      </c>
      <c r="C31" s="4"/>
      <c r="D31" s="4"/>
    </row>
    <row r="32" spans="1:4" x14ac:dyDescent="0.2">
      <c r="A32" s="4" t="s">
        <v>31</v>
      </c>
      <c r="B32" s="4">
        <v>0.2</v>
      </c>
      <c r="C32" s="4">
        <v>0.2</v>
      </c>
      <c r="D32" s="4">
        <v>0.35</v>
      </c>
    </row>
    <row r="33" spans="1:4" x14ac:dyDescent="0.2">
      <c r="A33" s="4" t="s">
        <v>32</v>
      </c>
      <c r="B33" s="10">
        <v>0.12</v>
      </c>
      <c r="C33" s="4">
        <v>0.1</v>
      </c>
      <c r="D33" s="4">
        <v>0.3</v>
      </c>
    </row>
    <row r="34" spans="1:4" x14ac:dyDescent="0.2">
      <c r="A34" s="4" t="s">
        <v>33</v>
      </c>
      <c r="B34" s="10">
        <v>0.12</v>
      </c>
      <c r="C34" s="4">
        <v>0.1</v>
      </c>
      <c r="D34" s="4">
        <v>0.3</v>
      </c>
    </row>
    <row r="35" spans="1:4" x14ac:dyDescent="0.2">
      <c r="A35" s="4" t="s">
        <v>34</v>
      </c>
      <c r="B35" s="10">
        <v>0.12</v>
      </c>
      <c r="C35" s="4">
        <v>0.2</v>
      </c>
      <c r="D35" s="4">
        <v>0.4</v>
      </c>
    </row>
    <row r="36" spans="1:4" x14ac:dyDescent="0.2">
      <c r="A36" s="4" t="s">
        <v>35</v>
      </c>
      <c r="B36" s="10">
        <v>0.12</v>
      </c>
      <c r="C36" s="4">
        <v>0.2</v>
      </c>
      <c r="D36" s="4">
        <v>0.4</v>
      </c>
    </row>
    <row r="37" spans="1:4" x14ac:dyDescent="0.2">
      <c r="A37" s="4" t="s">
        <v>36</v>
      </c>
      <c r="B37" s="10">
        <v>0.25</v>
      </c>
      <c r="C37" s="11">
        <v>0.4</v>
      </c>
      <c r="D37" s="11">
        <v>1.2</v>
      </c>
    </row>
    <row r="38" spans="1:4" x14ac:dyDescent="0.2">
      <c r="A38" s="4" t="s">
        <v>37</v>
      </c>
      <c r="B38" s="4">
        <v>0.08</v>
      </c>
      <c r="C38" s="4">
        <v>7.0000000000000007E-2</v>
      </c>
      <c r="D38" s="4">
        <v>0.09</v>
      </c>
    </row>
    <row r="39" spans="1:4" x14ac:dyDescent="0.2">
      <c r="A39" s="4" t="s">
        <v>38</v>
      </c>
      <c r="B39" s="4">
        <v>0.08</v>
      </c>
      <c r="C39" s="4">
        <v>7.0000000000000007E-2</v>
      </c>
      <c r="D39" s="4">
        <v>0.09</v>
      </c>
    </row>
    <row r="40" spans="1:4" x14ac:dyDescent="0.2">
      <c r="A40" s="4" t="s">
        <v>39</v>
      </c>
      <c r="B40" s="4">
        <v>0.1</v>
      </c>
      <c r="C40" s="4">
        <v>0.08</v>
      </c>
      <c r="D40" s="4">
        <v>0.12</v>
      </c>
    </row>
    <row r="41" spans="1:4" x14ac:dyDescent="0.2">
      <c r="A41" s="4" t="s">
        <v>40</v>
      </c>
      <c r="B41" s="4">
        <v>0.15</v>
      </c>
      <c r="C41" s="4">
        <v>0.12</v>
      </c>
      <c r="D41" s="4">
        <v>0.18</v>
      </c>
    </row>
    <row r="42" spans="1:4" x14ac:dyDescent="0.2">
      <c r="A42" s="4" t="s">
        <v>41</v>
      </c>
      <c r="B42" s="4">
        <v>0.22</v>
      </c>
      <c r="C42" s="8">
        <v>0.18</v>
      </c>
      <c r="D42" s="8">
        <v>0.26</v>
      </c>
    </row>
    <row r="43" spans="1:4" x14ac:dyDescent="0.2">
      <c r="A43" s="4" t="s">
        <v>42</v>
      </c>
      <c r="B43" s="4"/>
      <c r="C43" s="4">
        <v>0.66700000000000004</v>
      </c>
      <c r="D43" s="4">
        <v>4</v>
      </c>
    </row>
    <row r="44" spans="1:4" x14ac:dyDescent="0.2">
      <c r="A44" s="4" t="s">
        <v>43</v>
      </c>
      <c r="B44" s="4"/>
      <c r="C44" s="4">
        <v>0.66700000000000004</v>
      </c>
      <c r="D44" s="4">
        <v>4</v>
      </c>
    </row>
    <row r="45" spans="1:4" x14ac:dyDescent="0.2">
      <c r="A45" s="4" t="s">
        <v>44</v>
      </c>
      <c r="B45" s="4"/>
      <c r="C45" s="4">
        <v>7</v>
      </c>
      <c r="D45" s="4">
        <v>14</v>
      </c>
    </row>
    <row r="46" spans="1:4" x14ac:dyDescent="0.2">
      <c r="A46" s="4" t="s">
        <v>45</v>
      </c>
      <c r="B46" s="5"/>
      <c r="C46" s="5">
        <v>0.1</v>
      </c>
      <c r="D46" s="5">
        <v>0.15</v>
      </c>
    </row>
    <row r="47" spans="1:4" x14ac:dyDescent="0.2">
      <c r="A47" s="4" t="s">
        <v>46</v>
      </c>
      <c r="B47" s="5"/>
      <c r="C47" s="5">
        <v>0.15</v>
      </c>
      <c r="D47" s="5">
        <v>0.3</v>
      </c>
    </row>
    <row r="48" spans="1:4" x14ac:dyDescent="0.2">
      <c r="A48" s="4" t="s">
        <v>47</v>
      </c>
      <c r="B48" s="5"/>
      <c r="C48" s="5">
        <v>0.1</v>
      </c>
      <c r="D48" s="5">
        <v>0.2</v>
      </c>
    </row>
    <row r="49" spans="1:4" x14ac:dyDescent="0.2">
      <c r="A49" s="4" t="s">
        <v>48</v>
      </c>
      <c r="B49" s="5"/>
      <c r="C49" s="5">
        <v>0.15</v>
      </c>
      <c r="D49" s="5">
        <v>0.3</v>
      </c>
    </row>
    <row r="50" spans="1:4" x14ac:dyDescent="0.2">
      <c r="A50" s="4" t="s">
        <v>49</v>
      </c>
      <c r="B50" s="5">
        <v>0.15</v>
      </c>
      <c r="C50" s="5">
        <v>0.1</v>
      </c>
      <c r="D50" s="5">
        <v>0.2</v>
      </c>
    </row>
    <row r="51" spans="1:4" x14ac:dyDescent="0.2">
      <c r="A51" s="4" t="s">
        <v>50</v>
      </c>
      <c r="B51" s="5">
        <v>0.25</v>
      </c>
      <c r="C51" s="5">
        <v>0.2</v>
      </c>
      <c r="D51" s="5">
        <v>0.3</v>
      </c>
    </row>
    <row r="52" spans="1:4" x14ac:dyDescent="0.2">
      <c r="A52" s="4" t="s">
        <v>51</v>
      </c>
      <c r="B52" s="5">
        <v>0.89</v>
      </c>
      <c r="C52" s="5">
        <v>0.86</v>
      </c>
      <c r="D52" s="5">
        <v>0.94</v>
      </c>
    </row>
    <row r="53" spans="1:4" x14ac:dyDescent="0.2">
      <c r="A53" s="4" t="s">
        <v>52</v>
      </c>
      <c r="B53" s="5">
        <v>0.77</v>
      </c>
      <c r="C53" s="5">
        <v>0.72</v>
      </c>
      <c r="D53" s="5">
        <v>0.82</v>
      </c>
    </row>
    <row r="54" spans="1:4" x14ac:dyDescent="0.2">
      <c r="A54" s="4" t="s">
        <v>53</v>
      </c>
      <c r="B54" s="5">
        <v>0.9</v>
      </c>
      <c r="C54" s="5">
        <v>0.86</v>
      </c>
      <c r="D54" s="5">
        <v>0.94</v>
      </c>
    </row>
    <row r="55" spans="1:4" x14ac:dyDescent="0.2">
      <c r="A55" s="4" t="s">
        <v>54</v>
      </c>
      <c r="B55" s="5">
        <v>0.88</v>
      </c>
      <c r="C55" s="5">
        <v>0.85</v>
      </c>
      <c r="D55" s="5">
        <v>0.91</v>
      </c>
    </row>
    <row r="56" spans="1:4" x14ac:dyDescent="0.2">
      <c r="A56" s="4" t="s">
        <v>55</v>
      </c>
      <c r="B56" s="5">
        <v>0.98</v>
      </c>
      <c r="C56" s="5">
        <v>0.98199999999999998</v>
      </c>
      <c r="D56" s="5">
        <v>0.997</v>
      </c>
    </row>
    <row r="57" spans="1:4" x14ac:dyDescent="0.2">
      <c r="A57" s="4" t="s">
        <v>56</v>
      </c>
      <c r="B57" s="5">
        <v>0.98</v>
      </c>
      <c r="C57" s="5">
        <v>0.98199999999999998</v>
      </c>
      <c r="D57" s="5">
        <v>0.997</v>
      </c>
    </row>
    <row r="58" spans="1:4" x14ac:dyDescent="0.2">
      <c r="A58" s="4" t="s">
        <v>57</v>
      </c>
      <c r="B58" s="5">
        <v>0.98</v>
      </c>
      <c r="C58" s="5">
        <v>0.98199999999999998</v>
      </c>
      <c r="D58" s="5">
        <v>0.997</v>
      </c>
    </row>
    <row r="59" spans="1:4" x14ac:dyDescent="0.2">
      <c r="A59" s="4" t="s">
        <v>58</v>
      </c>
      <c r="B59" s="5">
        <v>0.98</v>
      </c>
      <c r="C59" s="5">
        <v>0.98199999999999998</v>
      </c>
      <c r="D59" s="5">
        <v>0.997</v>
      </c>
    </row>
    <row r="60" spans="1:4" ht="17" customHeight="1" x14ac:dyDescent="0.2">
      <c r="A60" s="4" t="s">
        <v>121</v>
      </c>
      <c r="B60" s="12">
        <v>2017</v>
      </c>
      <c r="C60" s="13"/>
      <c r="D60" s="13"/>
    </row>
    <row r="61" spans="1:4" x14ac:dyDescent="0.2">
      <c r="A61" s="4" t="s">
        <v>59</v>
      </c>
      <c r="B61" s="5">
        <v>0.09</v>
      </c>
      <c r="C61" s="5">
        <v>0.1</v>
      </c>
      <c r="D61" s="5">
        <v>0.2</v>
      </c>
    </row>
    <row r="62" spans="1:4" x14ac:dyDescent="0.2">
      <c r="A62" s="4" t="s">
        <v>60</v>
      </c>
      <c r="B62" s="5">
        <v>0.125</v>
      </c>
      <c r="C62" s="5">
        <v>0.2</v>
      </c>
      <c r="D62" s="5">
        <v>0.4</v>
      </c>
    </row>
    <row r="63" spans="1:4" x14ac:dyDescent="0.2">
      <c r="A63" s="4" t="s">
        <v>61</v>
      </c>
      <c r="B63" s="5"/>
      <c r="C63" s="5">
        <v>5.0000000000000001E-3</v>
      </c>
      <c r="D63" s="5">
        <v>1.4999999999999999E-2</v>
      </c>
    </row>
    <row r="64" spans="1:4" x14ac:dyDescent="0.2">
      <c r="A64" s="4" t="s">
        <v>62</v>
      </c>
      <c r="B64" s="5"/>
      <c r="C64" s="5">
        <v>1.4999999999999999E-2</v>
      </c>
      <c r="D64" s="5">
        <v>0.03</v>
      </c>
    </row>
    <row r="65" spans="1:4" x14ac:dyDescent="0.2">
      <c r="A65" s="4" t="s">
        <v>63</v>
      </c>
      <c r="B65" s="5">
        <v>0</v>
      </c>
      <c r="C65" s="5"/>
      <c r="D65" s="5"/>
    </row>
    <row r="66" spans="1:4" x14ac:dyDescent="0.2">
      <c r="A66" s="4" t="s">
        <v>64</v>
      </c>
      <c r="B66" s="5">
        <v>0</v>
      </c>
      <c r="C66" s="5"/>
      <c r="D66" s="5"/>
    </row>
    <row r="67" spans="1:4" x14ac:dyDescent="0.2">
      <c r="A67" s="4" t="s">
        <v>65</v>
      </c>
      <c r="B67" s="4">
        <v>0</v>
      </c>
      <c r="C67" s="5"/>
      <c r="D67" s="5"/>
    </row>
    <row r="68" spans="1:4" x14ac:dyDescent="0.2">
      <c r="A68" s="4" t="s">
        <v>66</v>
      </c>
      <c r="B68" s="5">
        <v>1.431</v>
      </c>
      <c r="C68" s="5">
        <v>1.2090000000000001</v>
      </c>
      <c r="D68" s="5">
        <v>1.67</v>
      </c>
    </row>
    <row r="69" spans="1:4" x14ac:dyDescent="0.2">
      <c r="A69" s="4" t="s">
        <v>67</v>
      </c>
      <c r="B69" s="5">
        <v>0.15</v>
      </c>
      <c r="C69" s="5">
        <v>0.13</v>
      </c>
      <c r="D69" s="5">
        <v>0.17899999999999999</v>
      </c>
    </row>
    <row r="70" spans="1:4" x14ac:dyDescent="0.2">
      <c r="A70" s="4" t="s">
        <v>68</v>
      </c>
      <c r="B70" s="4">
        <v>0.34</v>
      </c>
      <c r="C70" s="4">
        <v>0.28000000000000003</v>
      </c>
      <c r="D70" s="4">
        <v>0.39</v>
      </c>
    </row>
    <row r="71" spans="1:4" x14ac:dyDescent="0.2">
      <c r="A71" s="4" t="s">
        <v>69</v>
      </c>
      <c r="B71" s="4">
        <v>0.48</v>
      </c>
      <c r="C71" s="4">
        <v>0.4</v>
      </c>
      <c r="D71" s="4">
        <v>0.57999999999999996</v>
      </c>
    </row>
    <row r="72" spans="1:4" x14ac:dyDescent="0.2">
      <c r="A72" s="4" t="s">
        <v>70</v>
      </c>
      <c r="B72" s="4">
        <v>0.32</v>
      </c>
      <c r="C72" s="4">
        <v>0.25</v>
      </c>
      <c r="D72" s="4">
        <v>0.39</v>
      </c>
    </row>
    <row r="73" spans="1:4" x14ac:dyDescent="0.2">
      <c r="A73" s="4" t="s">
        <v>71</v>
      </c>
      <c r="B73" s="4">
        <v>0.21</v>
      </c>
      <c r="C73" s="4">
        <v>0.16</v>
      </c>
      <c r="D73" s="4">
        <v>0.27</v>
      </c>
    </row>
    <row r="74" spans="1:4" x14ac:dyDescent="0.2">
      <c r="A74" s="4" t="s">
        <v>72</v>
      </c>
      <c r="B74" s="4">
        <v>0.13</v>
      </c>
      <c r="C74" s="4">
        <v>0.05</v>
      </c>
      <c r="D74" s="4">
        <v>0.24</v>
      </c>
    </row>
    <row r="75" spans="1:4" x14ac:dyDescent="0.2">
      <c r="A75" s="4" t="s">
        <v>73</v>
      </c>
      <c r="B75" s="4">
        <v>2.6</v>
      </c>
      <c r="C75" s="4">
        <v>2.11</v>
      </c>
      <c r="D75" s="4">
        <v>4.5999999999999996</v>
      </c>
    </row>
    <row r="76" spans="1:4" x14ac:dyDescent="0.2">
      <c r="A76" s="4" t="s">
        <v>74</v>
      </c>
      <c r="B76" s="4">
        <v>1.36</v>
      </c>
      <c r="C76" s="4">
        <v>1.3</v>
      </c>
      <c r="D76" s="4">
        <v>1.8</v>
      </c>
    </row>
    <row r="77" spans="1:4" x14ac:dyDescent="0.2">
      <c r="A77" s="4" t="s">
        <v>112</v>
      </c>
      <c r="B77" s="4">
        <v>0</v>
      </c>
      <c r="C77" s="4"/>
      <c r="D77" s="4"/>
    </row>
    <row r="78" spans="1:4" x14ac:dyDescent="0.2">
      <c r="A78" s="4" t="s">
        <v>113</v>
      </c>
      <c r="B78" s="4">
        <v>0.75</v>
      </c>
      <c r="C78" s="4"/>
      <c r="D78" s="4"/>
    </row>
    <row r="79" spans="1:4" x14ac:dyDescent="0.2">
      <c r="A79" s="4" t="s">
        <v>114</v>
      </c>
      <c r="B79" s="4">
        <v>2.25</v>
      </c>
      <c r="C79" s="4"/>
      <c r="D79" s="4"/>
    </row>
    <row r="80" spans="1:4" x14ac:dyDescent="0.2">
      <c r="A80" s="4" t="s">
        <v>115</v>
      </c>
      <c r="B80" s="4">
        <v>4</v>
      </c>
      <c r="C80" s="4"/>
      <c r="D80" s="4"/>
    </row>
    <row r="81" spans="1:4" x14ac:dyDescent="0.2">
      <c r="A81" s="4" t="s">
        <v>75</v>
      </c>
      <c r="B81" s="4">
        <v>0.02</v>
      </c>
      <c r="C81" s="4"/>
      <c r="D81" s="4"/>
    </row>
    <row r="82" spans="1:4" x14ac:dyDescent="0.2">
      <c r="A82" s="4" t="s">
        <v>76</v>
      </c>
      <c r="B82" s="4">
        <v>0.03</v>
      </c>
      <c r="C82" s="4">
        <v>0.02</v>
      </c>
      <c r="D82" s="4">
        <v>0.04</v>
      </c>
    </row>
    <row r="83" spans="1:4" x14ac:dyDescent="0.2">
      <c r="A83" s="4" t="s">
        <v>77</v>
      </c>
      <c r="B83" s="4">
        <v>0.7</v>
      </c>
      <c r="C83" s="4">
        <v>0.47</v>
      </c>
      <c r="D83" s="4">
        <v>0.87</v>
      </c>
    </row>
    <row r="84" spans="1:4" x14ac:dyDescent="0.2">
      <c r="A84" s="4" t="s">
        <v>78</v>
      </c>
      <c r="B84" s="4">
        <v>1</v>
      </c>
      <c r="C84" s="4"/>
      <c r="D84" s="4"/>
    </row>
    <row r="85" spans="1:4" x14ac:dyDescent="0.2">
      <c r="A85" s="4" t="s">
        <v>79</v>
      </c>
      <c r="B85" s="4">
        <v>1</v>
      </c>
      <c r="C85" s="4"/>
      <c r="D85" s="4"/>
    </row>
    <row r="86" spans="1:4" x14ac:dyDescent="0.2">
      <c r="A86" s="4" t="s">
        <v>80</v>
      </c>
      <c r="B86" s="4">
        <v>1</v>
      </c>
      <c r="C86" s="4"/>
      <c r="D86" s="4"/>
    </row>
    <row r="87" spans="1:4" x14ac:dyDescent="0.2">
      <c r="A87" s="4" t="s">
        <v>81</v>
      </c>
      <c r="B87" s="4">
        <v>0.4</v>
      </c>
      <c r="C87" s="4"/>
      <c r="D87" s="4"/>
    </row>
    <row r="88" spans="1:4" x14ac:dyDescent="0.2">
      <c r="A88" s="4" t="s">
        <v>82</v>
      </c>
      <c r="B88" s="4">
        <v>0</v>
      </c>
      <c r="C88" s="4"/>
      <c r="D88" s="4"/>
    </row>
    <row r="89" spans="1:4" x14ac:dyDescent="0.2">
      <c r="A89" s="4" t="s">
        <v>83</v>
      </c>
      <c r="B89" s="4">
        <v>0.1</v>
      </c>
      <c r="C89" s="4"/>
      <c r="D89" s="4"/>
    </row>
    <row r="90" spans="1:4" x14ac:dyDescent="0.2">
      <c r="A90" s="4" t="s">
        <v>84</v>
      </c>
      <c r="B90" s="4">
        <v>0.77</v>
      </c>
      <c r="C90" s="4"/>
      <c r="D90" s="4"/>
    </row>
    <row r="91" spans="1:4" x14ac:dyDescent="0.2">
      <c r="A91" s="4" t="s">
        <v>85</v>
      </c>
      <c r="B91" s="4">
        <v>1</v>
      </c>
      <c r="C91" s="4"/>
      <c r="D91" s="4"/>
    </row>
    <row r="92" spans="1:4" x14ac:dyDescent="0.2">
      <c r="A92" s="4" t="s">
        <v>86</v>
      </c>
      <c r="B92" s="4">
        <v>1</v>
      </c>
      <c r="C92" s="4"/>
      <c r="D92" s="4"/>
    </row>
    <row r="93" spans="1:4" x14ac:dyDescent="0.2">
      <c r="A93" s="4" t="s">
        <v>87</v>
      </c>
      <c r="B93" s="4">
        <v>0.9</v>
      </c>
      <c r="C93" s="4"/>
      <c r="D93" s="4"/>
    </row>
    <row r="94" spans="1:4" x14ac:dyDescent="0.2">
      <c r="A94" s="4" t="s">
        <v>88</v>
      </c>
      <c r="B94" s="4">
        <v>0.8</v>
      </c>
      <c r="C94" s="4"/>
      <c r="D94" s="4"/>
    </row>
    <row r="95" spans="1:4" x14ac:dyDescent="0.2">
      <c r="A95" s="4" t="s">
        <v>89</v>
      </c>
      <c r="B95" s="4">
        <v>0.01</v>
      </c>
      <c r="C95" s="4"/>
      <c r="D95" s="4"/>
    </row>
    <row r="96" spans="1:4" x14ac:dyDescent="0.2">
      <c r="A96" s="4" t="s">
        <v>90</v>
      </c>
      <c r="B96" s="4">
        <v>0.16</v>
      </c>
      <c r="C96" s="4">
        <v>0.14000000000000001</v>
      </c>
      <c r="D96" s="4">
        <v>0.22</v>
      </c>
    </row>
    <row r="97" spans="1:4" x14ac:dyDescent="0.2">
      <c r="A97" s="4" t="s">
        <v>91</v>
      </c>
      <c r="B97" s="4">
        <v>0.2</v>
      </c>
      <c r="C97" s="4">
        <v>0.17</v>
      </c>
      <c r="D97" s="4">
        <v>0.28000000000000003</v>
      </c>
    </row>
    <row r="98" spans="1:4" x14ac:dyDescent="0.2">
      <c r="A98" s="4" t="s">
        <v>92</v>
      </c>
      <c r="B98" s="4">
        <v>0.26</v>
      </c>
      <c r="C98" s="4">
        <v>0.22</v>
      </c>
      <c r="D98" s="4">
        <v>0.35</v>
      </c>
    </row>
    <row r="99" spans="1:4" x14ac:dyDescent="0.2">
      <c r="A99" s="4" t="s">
        <v>93</v>
      </c>
      <c r="B99" s="4">
        <v>0.35</v>
      </c>
      <c r="C99" s="4">
        <v>0.25</v>
      </c>
      <c r="D99" s="4">
        <v>0.5</v>
      </c>
    </row>
    <row r="100" spans="1:4" x14ac:dyDescent="0.2">
      <c r="A100" s="4" t="s">
        <v>94</v>
      </c>
      <c r="B100" s="4">
        <v>0.5</v>
      </c>
      <c r="C100" s="4"/>
      <c r="D100" s="4"/>
    </row>
    <row r="101" spans="1:4" ht="17" customHeight="1" x14ac:dyDescent="0.2">
      <c r="A101" s="4" t="s">
        <v>119</v>
      </c>
      <c r="B101" s="12">
        <v>2018</v>
      </c>
      <c r="C101" s="13"/>
      <c r="D101" s="13"/>
    </row>
    <row r="102" spans="1:4" ht="17" customHeight="1" x14ac:dyDescent="0.2">
      <c r="A102" s="4" t="s">
        <v>120</v>
      </c>
      <c r="B102" s="12">
        <v>2014</v>
      </c>
      <c r="C102" s="13"/>
      <c r="D102" s="13"/>
    </row>
    <row r="103" spans="1:4" ht="17" customHeight="1" x14ac:dyDescent="0.2">
      <c r="A103" s="4" t="s">
        <v>118</v>
      </c>
      <c r="B103" s="12">
        <v>2012</v>
      </c>
      <c r="C103" s="13"/>
      <c r="D103" s="13"/>
    </row>
    <row r="104" spans="1:4" ht="17" customHeight="1" x14ac:dyDescent="0.2">
      <c r="A104" s="4" t="s">
        <v>117</v>
      </c>
      <c r="B104" s="12">
        <v>2008</v>
      </c>
      <c r="C104" s="13"/>
      <c r="D104" s="13"/>
    </row>
    <row r="105" spans="1:4" x14ac:dyDescent="0.2">
      <c r="A105" s="4" t="s">
        <v>95</v>
      </c>
      <c r="B105" s="4"/>
      <c r="C105" s="4">
        <v>0.27</v>
      </c>
      <c r="D105" s="4">
        <v>0.42</v>
      </c>
    </row>
    <row r="106" spans="1:4" x14ac:dyDescent="0.2">
      <c r="A106" s="4" t="s">
        <v>96</v>
      </c>
      <c r="B106" s="4"/>
      <c r="C106" s="4">
        <v>0.19</v>
      </c>
      <c r="D106" s="4">
        <v>0.33</v>
      </c>
    </row>
    <row r="107" spans="1:4" x14ac:dyDescent="0.2">
      <c r="A107" s="4" t="s">
        <v>97</v>
      </c>
      <c r="B107" s="4"/>
      <c r="C107" s="4">
        <v>0.2</v>
      </c>
      <c r="D107" s="4">
        <v>0.35</v>
      </c>
    </row>
    <row r="108" spans="1:4" x14ac:dyDescent="0.2">
      <c r="A108" s="4" t="s">
        <v>98</v>
      </c>
      <c r="B108" s="4"/>
      <c r="C108" s="4">
        <v>0.09</v>
      </c>
      <c r="D108" s="4">
        <v>0.2</v>
      </c>
    </row>
    <row r="109" spans="1:4" x14ac:dyDescent="0.2">
      <c r="A109" s="4" t="s">
        <v>99</v>
      </c>
      <c r="B109" s="4"/>
      <c r="C109" s="4">
        <v>0.2</v>
      </c>
      <c r="D109" s="4">
        <v>0.5</v>
      </c>
    </row>
    <row r="110" spans="1:4" x14ac:dyDescent="0.2">
      <c r="A110" s="4" t="s">
        <v>100</v>
      </c>
      <c r="B110" s="4"/>
      <c r="C110" s="4">
        <v>0.01</v>
      </c>
      <c r="D110" s="4">
        <v>0.02</v>
      </c>
    </row>
    <row r="111" spans="1:4" x14ac:dyDescent="0.2">
      <c r="A111" s="4" t="s">
        <v>101</v>
      </c>
      <c r="B111" s="4"/>
      <c r="C111" s="4">
        <v>0.2</v>
      </c>
      <c r="D111" s="4">
        <v>0.3</v>
      </c>
    </row>
    <row r="112" spans="1:4" x14ac:dyDescent="0.2">
      <c r="A112" s="4" t="s">
        <v>102</v>
      </c>
      <c r="B112" s="4"/>
      <c r="C112" s="4">
        <v>5.0000000000000001E-3</v>
      </c>
      <c r="D112" s="4">
        <v>0.01</v>
      </c>
    </row>
    <row r="113" spans="1:4" x14ac:dyDescent="0.2">
      <c r="A113" s="4" t="s">
        <v>103</v>
      </c>
      <c r="B113" s="4"/>
      <c r="C113" s="4">
        <v>5.0000000000000001E-3</v>
      </c>
      <c r="D113" s="4">
        <v>0.01</v>
      </c>
    </row>
    <row r="114" spans="1:4" x14ac:dyDescent="0.2">
      <c r="A114" s="4" t="s">
        <v>104</v>
      </c>
      <c r="B114" s="4"/>
      <c r="C114" s="4">
        <v>0</v>
      </c>
      <c r="D114" s="4">
        <v>0</v>
      </c>
    </row>
    <row r="115" spans="1:4" x14ac:dyDescent="0.2">
      <c r="A115" s="4" t="s">
        <v>105</v>
      </c>
      <c r="B115" s="4"/>
      <c r="C115" s="4">
        <v>0</v>
      </c>
      <c r="D115" s="4">
        <v>0</v>
      </c>
    </row>
    <row r="116" spans="1:4" x14ac:dyDescent="0.2">
      <c r="A116" s="4" t="s">
        <v>106</v>
      </c>
      <c r="B116" s="4"/>
      <c r="C116" s="4">
        <v>1E-4</v>
      </c>
      <c r="D116" s="4">
        <v>1E-3</v>
      </c>
    </row>
    <row r="117" spans="1:4" x14ac:dyDescent="0.2">
      <c r="A117" s="4" t="s">
        <v>107</v>
      </c>
      <c r="B117" s="4"/>
      <c r="C117" s="4">
        <v>0</v>
      </c>
      <c r="D117" s="4">
        <v>0</v>
      </c>
    </row>
    <row r="118" spans="1:4" x14ac:dyDescent="0.2">
      <c r="A118" s="4" t="s">
        <v>108</v>
      </c>
      <c r="B118" s="4"/>
      <c r="C118" s="4">
        <v>1E-4</v>
      </c>
      <c r="D118" s="4">
        <v>1E-3</v>
      </c>
    </row>
    <row r="119" spans="1:4" x14ac:dyDescent="0.2">
      <c r="A119" s="4" t="s">
        <v>109</v>
      </c>
      <c r="B119" s="4"/>
      <c r="C119" s="4">
        <v>0.05</v>
      </c>
      <c r="D119" s="4">
        <v>0.1</v>
      </c>
    </row>
    <row r="120" spans="1:4" x14ac:dyDescent="0.2">
      <c r="A120" s="4" t="s">
        <v>110</v>
      </c>
      <c r="B120" s="4">
        <v>41435761</v>
      </c>
      <c r="C120" s="4"/>
      <c r="D120" s="4"/>
    </row>
    <row r="121" spans="1:4" x14ac:dyDescent="0.2">
      <c r="A121" s="14" t="s">
        <v>111</v>
      </c>
      <c r="B121" s="14">
        <v>1200000</v>
      </c>
      <c r="C121" s="14"/>
      <c r="D121" s="14"/>
    </row>
    <row r="128" spans="1:4" ht="17" customHeight="1" x14ac:dyDescent="0.2">
      <c r="D128" s="16"/>
    </row>
  </sheetData>
  <autoFilter ref="A1:D121" xr:uid="{E65E05CC-03A4-5A47-BEF9-B9D4A795B9CF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1_timevarying_parms</vt:lpstr>
      <vt:lpstr>2_generate_param_list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 Villiers, Abigail Kate</cp:lastModifiedBy>
  <dcterms:created xsi:type="dcterms:W3CDTF">2023-08-22T13:19:28Z</dcterms:created>
  <dcterms:modified xsi:type="dcterms:W3CDTF">2025-12-02T13:34:14Z</dcterms:modified>
</cp:coreProperties>
</file>